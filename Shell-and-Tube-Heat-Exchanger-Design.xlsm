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rels" ContentType="application/vnd.openxmlformats-package.relationships+xml"/>
  <Default Extension="emf" ContentType="image/x-emf"/>
  <Default Extension="vml" ContentType="application/vnd.openxmlformats-officedocument.vmlDrawing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embeddings/oleObject1.bin" ContentType="application/vnd.openxmlformats-officedocument.oleObject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907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min/Downloads/125_86100332_85105112/"/>
    </mc:Choice>
  </mc:AlternateContent>
  <bookViews>
    <workbookView xWindow="0" yWindow="460" windowWidth="15480" windowHeight="8500" tabRatio="587"/>
  </bookViews>
  <sheets>
    <sheet name="Introduction" sheetId="7" r:id="rId1"/>
    <sheet name="Contents" sheetId="20" r:id="rId2"/>
    <sheet name="Requirements" sheetId="2" r:id="rId3"/>
    <sheet name="Properties" sheetId="3" r:id="rId4"/>
    <sheet name="Temp. dependency" sheetId="4" r:id="rId5"/>
    <sheet name="Results" sheetId="8" r:id="rId6"/>
    <sheet name="Shell Side" sheetId="6" r:id="rId7"/>
    <sheet name="Tube Side" sheetId="9" r:id="rId8"/>
    <sheet name="Mechanical Design" sheetId="11" r:id="rId9"/>
    <sheet name="Cost &amp; Weight Estimation" sheetId="12" r:id="rId10"/>
    <sheet name="Layout" sheetId="13" r:id="rId11"/>
    <sheet name="TEMA Datasheet" sheetId="14" r:id="rId12"/>
    <sheet name="References" sheetId="15" r:id="rId13"/>
    <sheet name="Aknowledgment" sheetId="19" r:id="rId14"/>
  </sheets>
  <externalReferences>
    <externalReference r:id="rId15"/>
    <externalReference r:id="rId16"/>
    <externalReference r:id="rId17"/>
    <externalReference r:id="rId18"/>
  </externalReferences>
  <definedNames>
    <definedName name="A_actual">Results!$M$6</definedName>
    <definedName name="A_ba">'Shell Side'!$D$63</definedName>
    <definedName name="a_cp_shell">'Temp. dependency'!$N$31</definedName>
    <definedName name="a_cp_tube">'Temp. dependency'!$N$11</definedName>
    <definedName name="A_hex">Results!$H$16</definedName>
    <definedName name="A_mb">'Shell Side'!$D$68</definedName>
    <definedName name="a_mu_tube">'Temp. dependency'!$O$46</definedName>
    <definedName name="A_s_mb">'Shell Side'!$H$34</definedName>
    <definedName name="A_s_shell_kern">'Shell Side'!$D$13</definedName>
    <definedName name="A_sb">'Shell Side'!$D$65</definedName>
    <definedName name="A_tb">'Shell Side'!$H$47</definedName>
    <definedName name="A_w">'Shell Side'!$D$49</definedName>
    <definedName name="A_wg">'Shell Side'!$D$45</definedName>
    <definedName name="A_wt">'Shell Side'!$D$47</definedName>
    <definedName name="avg_cp_shell">'Temp. dependency'!$N$34</definedName>
    <definedName name="avg_cp_tube">'Temp. dependency'!$N$14</definedName>
    <definedName name="avg_mu_tube">'Temp. dependency'!$O$49</definedName>
    <definedName name="B_C">'Shell Side'!$D$35</definedName>
    <definedName name="b_cp_shell">'Temp. dependency'!$N$32</definedName>
    <definedName name="b_cp_tube">'Temp. dependency'!$N$12</definedName>
    <definedName name="b_mu_tube">'Temp. dependency'!$O$47</definedName>
    <definedName name="b_Pr_in">'Tube Side'!$H$13</definedName>
    <definedName name="baffle_cut">'Shell Side'!$L$7</definedName>
    <definedName name="baffle_no">'[1]Bell Method'!$J$25</definedName>
    <definedName name="Baffle_space">'[1]Bell Method'!$J$26</definedName>
    <definedName name="Baffle_thik">'[1]Bell Method'!$J$28</definedName>
    <definedName name="BC">'[1]Process Description'!$H$25</definedName>
    <definedName name="bell_a">'Shell Side'!$L$42</definedName>
    <definedName name="bell_a1">'Shell Side'!$L$34</definedName>
    <definedName name="bell_a2">'Shell Side'!$L$35</definedName>
    <definedName name="bell_a3">'Shell Side'!$L$36</definedName>
    <definedName name="bell_a4">'Shell Side'!$L$37</definedName>
    <definedName name="bell_b">'Shell Side'!$L$44</definedName>
    <definedName name="bell_b1">'Shell Side'!$L$38</definedName>
    <definedName name="bell_b2">'Shell Side'!$L$39</definedName>
    <definedName name="bell_b3">'Shell Side'!$L$40</definedName>
    <definedName name="bell_b4">'Shell Side'!$L$41</definedName>
    <definedName name="bell_f_i">'Shell Side'!$L$45</definedName>
    <definedName name="bell_j_i">'Shell Side'!$L$43</definedName>
    <definedName name="boundle_dia">'Shell Side'!$D$8</definedName>
    <definedName name="C_1">'Shell Side'!$D$41</definedName>
    <definedName name="C_bh">'Shell Side'!$H$54</definedName>
    <definedName name="C_bp">'Shell Side'!$H$55</definedName>
    <definedName name="Corr_shell">'Mechanical Design'!$C$8</definedName>
    <definedName name="cost_index">'Cost &amp; Weight Estimation'!$D$21</definedName>
    <definedName name="Cp_avg_t">'[2]properties function'!$D$29</definedName>
    <definedName name="cp_design">Results!$C$25</definedName>
    <definedName name="Cp_s">'Shell Side'!$H$39</definedName>
    <definedName name="cp_shell_in">'Temp. dependency'!$N$35</definedName>
    <definedName name="cp_shell_out">'Temp. dependency'!$N$36</definedName>
    <definedName name="cp_tube_in">'Temp. dependency'!$N$15</definedName>
    <definedName name="cp_tube_out">'Temp. dependency'!$N$16</definedName>
    <definedName name="D_ctl">'Shell Side'!$D$36</definedName>
    <definedName name="d_e_kern">'Shell Side'!$D$15</definedName>
    <definedName name="D_otl">'Shell Side'!$D$37</definedName>
    <definedName name="D_s">'Shell Side'!$D$38</definedName>
    <definedName name="D_t">'Shell Side'!$D$39</definedName>
    <definedName name="D_w">'Shell Side'!$D$52</definedName>
    <definedName name="deltaP_shell_bell_bar">'Shell Side'!$L$61</definedName>
    <definedName name="deltaP_shell_kern">'Shell Side'!$H$28</definedName>
    <definedName name="deltaP_tub">'Tube Side'!$M$15</definedName>
    <definedName name="deltaP_tube">'Tube Side'!$M$15</definedName>
    <definedName name="deltaP_tube_bar">'Tube Side'!$M$16</definedName>
    <definedName name="deltaP_tube_pa">'Tube Side'!$M$15</definedName>
    <definedName name="deltaP_tubee">'Tube Side'!$M$15</definedName>
    <definedName name="deltaP_tubepa">'Tube Side'!$M$15</definedName>
    <definedName name="dens_tube_avg">'Temp. dependency'!$O$80</definedName>
    <definedName name="dens_tube_in">'Temp. dependency'!$O$78</definedName>
    <definedName name="dens_tube_out">'Temp. dependency'!$O$79</definedName>
    <definedName name="density_shell_avg">'Temp. dependency'!$O$103</definedName>
    <definedName name="density_shell_in">'Temp. dependency'!$O$101</definedName>
    <definedName name="density_shell_out">'Temp. dependency'!$O$102</definedName>
    <definedName name="duty_design">Results!$C$27</definedName>
    <definedName name="duty_max">Results!$C$24</definedName>
    <definedName name="duty_req">Results!$M$7</definedName>
    <definedName name="duty_shell">Results!$C$23</definedName>
    <definedName name="duty_tube">Results!$C$22</definedName>
    <definedName name="epsilon_tube">'Tube Side'!$M$4</definedName>
    <definedName name="Estimated_Cost_Peters">'Cost &amp; Weight Estimation'!$D$32</definedName>
    <definedName name="Estimated_total_cost">'Cost &amp; Weight Estimation'!$D$22</definedName>
    <definedName name="F_C">'Shell Side'!$H$44</definedName>
    <definedName name="f_c_cost">'Cost &amp; Weight Estimation'!$D$17</definedName>
    <definedName name="f_d_cost">'Cost &amp; Weight Estimation'!$D$18</definedName>
    <definedName name="f_i">'Shell Side'!$L$45</definedName>
    <definedName name="F_LMTD">Results!$M$30</definedName>
    <definedName name="f_m_cost">'Cost &amp; Weight Estimation'!$D$20</definedName>
    <definedName name="f_p_cost">'Cost &amp; Weight Estimation'!$D$19</definedName>
    <definedName name="F_sbp">'Shell Side'!$H$57</definedName>
    <definedName name="f_tube">'Tube Side'!$M$5</definedName>
    <definedName name="F_w">'Shell Side'!$D$46</definedName>
    <definedName name="fannig_tube">'Tube Side'!$M$6</definedName>
    <definedName name="fouling_shell">Requirements!$E$16</definedName>
    <definedName name="fouling_tube">Requirements!$G$16</definedName>
    <definedName name="G_s">'Shell Side'!$H$35</definedName>
    <definedName name="G_s_kern">'Shell Side'!$D$14</definedName>
    <definedName name="G_tube">'Tube Side'!$H$5</definedName>
    <definedName name="G_w">'Shell Side'!$L$60</definedName>
    <definedName name="h_s">'Shell Side'!$H$65</definedName>
    <definedName name="h_shell_in_kern">'Shell Side'!$H$19</definedName>
    <definedName name="h_shell_kern">'Shell Side'!$H$22</definedName>
    <definedName name="h_shell_out_kern">'Shell Side'!$D$28</definedName>
    <definedName name="h_si">'Shell Side'!$H$43</definedName>
    <definedName name="h_tube">'Tube Side'!$M$10</definedName>
    <definedName name="h_tube_in">'Tube Side'!$H$17</definedName>
    <definedName name="h_tube_out">'Tube Side'!$H$23</definedName>
    <definedName name="ID_nozz_s">'Mechanical Design'!$C$31</definedName>
    <definedName name="ID_nozz_ss">'Mechanical Design'!$C$39</definedName>
    <definedName name="ID_nozz_t">'Mechanical Design'!$H$31</definedName>
    <definedName name="ID_shell">'Shell Side'!$D$9</definedName>
    <definedName name="ID_tube">'Tube Side'!$C$6</definedName>
    <definedName name="IDBOUNDLE_k1">'Shell Side'!$H$7</definedName>
    <definedName name="IDBOUNDLE_n1">'Shell Side'!$H$8</definedName>
    <definedName name="intgrl_cp_shell">'Temp. dependency'!$N$33</definedName>
    <definedName name="intgrl_cp_tube">'Temp. dependency'!$N$13</definedName>
    <definedName name="intgrl_mu_tube">'Temp. dependency'!$O$48</definedName>
    <definedName name="J_b">'Shell Side'!$H$56</definedName>
    <definedName name="J_c">'Shell Side'!$H$45</definedName>
    <definedName name="J_DSBaffle">'Shell Side'!$L$11</definedName>
    <definedName name="J_f_in">'Shell Side'!$H$16</definedName>
    <definedName name="j_f_out">'Shell Side'!$D$25</definedName>
    <definedName name="J_h_in">'Shell Side'!$H$15</definedName>
    <definedName name="j_h_out">'Shell Side'!$D$24</definedName>
    <definedName name="J_l">'Shell Side'!$H$49</definedName>
    <definedName name="J_r">'Shell Side'!$H$60</definedName>
    <definedName name="J_s">'Shell Side'!$H$64</definedName>
    <definedName name="J_ΔP_DSBaffle">'Shell Side'!$L$10</definedName>
    <definedName name="K_ns">'Shell Side'!$L$57</definedName>
    <definedName name="k_shell_avg">'Temp. dependency'!$O$138</definedName>
    <definedName name="k_shell_in">'Temp. dependency'!$O$136</definedName>
    <definedName name="k_shell_out">'Temp. dependency'!$O$137</definedName>
    <definedName name="K_solid_tube">'Tube Side'!$C$9</definedName>
    <definedName name="k_tube_avg">'Temp. dependency'!$O$120</definedName>
    <definedName name="k_tube_in">'Temp. dependency'!$O$118</definedName>
    <definedName name="k_tube_out">'Temp. dependency'!$O$119</definedName>
    <definedName name="kf_avg_t">'[2]properties function'!$D$216</definedName>
    <definedName name="komaki">Results!$M$25</definedName>
    <definedName name="L">'[2]Tube Side'!$H$22</definedName>
    <definedName name="L_b_kern">'Shell Side'!$L$6</definedName>
    <definedName name="L_bb">'Shell Side'!$D$40</definedName>
    <definedName name="L_bc">'Shell Side'!$D$57</definedName>
    <definedName name="L_bi">'Shell Side'!$D$58</definedName>
    <definedName name="L_bo">'Shell Side'!$D$59</definedName>
    <definedName name="L_pl">'Shell Side'!$D$62</definedName>
    <definedName name="L_plus">'Shell Side'!$H$61</definedName>
    <definedName name="L_plus_i">'Shell Side'!$H$63</definedName>
    <definedName name="L_plus_o">'Shell Side'!$H$62</definedName>
    <definedName name="L_pp">'Shell Side'!$D$53</definedName>
    <definedName name="L_sb">'Shell Side'!$D$65</definedName>
    <definedName name="L_sb_shell">'Shell Side'!$D$64</definedName>
    <definedName name="L_shell">'Mechanical Design'!$C$14</definedName>
    <definedName name="L_tb">'Shell Side'!$D$66</definedName>
    <definedName name="L_ti">'Shell Side'!$D$60</definedName>
    <definedName name="L_to">'Shell Side'!$D$50</definedName>
    <definedName name="L_tp">'Shell Side'!$D$50</definedName>
    <definedName name="L_tp_eff">'Shell Side'!$D$67</definedName>
    <definedName name="L_tube">'Mechanical Design'!$H$15</definedName>
    <definedName name="L_wp">'Shell Side'!$D$55</definedName>
    <definedName name="LMTD">Results!$M$22</definedName>
    <definedName name="LMTD_A">Results!$M$29</definedName>
    <definedName name="LMTD_N">Results!$M$26</definedName>
    <definedName name="LMTD_P">Results!$M$24</definedName>
    <definedName name="LMTD_Pprime">Results!$M$28</definedName>
    <definedName name="LMTD_R">Results!$M$23</definedName>
    <definedName name="LMTD_S">Results!$M$24</definedName>
    <definedName name="Ltb">'[1]Bell Method'!$N$11</definedName>
    <definedName name="mdot_req_shell">Requirements!$E$10</definedName>
    <definedName name="mdot_req_tube">Requirements!$G$10</definedName>
    <definedName name="mdot_shell">Requirements!$E$11</definedName>
    <definedName name="mdot_tube">Requirements!$G$11</definedName>
    <definedName name="mu_shell_avg">'Temp. dependency'!$O$68</definedName>
    <definedName name="mu_shell_in">'Temp. dependency'!$O$66</definedName>
    <definedName name="mu_shell_out">'Temp. dependency'!$O$67</definedName>
    <definedName name="mu_tube_avg">'Temp. dependency'!$O$52</definedName>
    <definedName name="mu_tube_in">'Temp. dependency'!$O$50</definedName>
    <definedName name="mu_tube_out">'Temp. dependency'!$O$51</definedName>
    <definedName name="mu_wall">[3]Data!$D$20</definedName>
    <definedName name="mu_wall_shell">'Shell Side'!$D$6</definedName>
    <definedName name="mu_wall_tube">'Tube Side'!$H$10</definedName>
    <definedName name="N_b">'Shell Side'!$D$61</definedName>
    <definedName name="N_b_A">'Mechanical Design'!$L$28</definedName>
    <definedName name="N_b_B">'Mechanical Design'!$L$29</definedName>
    <definedName name="N_c">'Shell Side'!$H$59</definedName>
    <definedName name="N_ss">'Shell Side'!$H$52</definedName>
    <definedName name="N_tcc">'Shell Side'!$D$54</definedName>
    <definedName name="N_tcw">'Shell Side'!$D$56</definedName>
    <definedName name="N_tt">'Shell Side'!$D$51</definedName>
    <definedName name="N_tw">'Shell Side'!$D$48</definedName>
    <definedName name="no_tube">'Mechanical Design'!$H$20</definedName>
    <definedName name="No._tube_in">'Tube Side'!$C$20</definedName>
    <definedName name="Nozzle_Shell_OD">'Mechanical Design'!$C$29</definedName>
    <definedName name="nu_shell_in_kern">'Shell Side'!$H$18</definedName>
    <definedName name="Nu_shell_out_kern">'Shell Side'!$D$27</definedName>
    <definedName name="Nu_tube_in">'Tube Side'!$H$16</definedName>
    <definedName name="Nu_tube_out">'Tube Side'!$H$22</definedName>
    <definedName name="number_tube">'Mechanical Design'!$H$20</definedName>
    <definedName name="OD">#REF!</definedName>
    <definedName name="OD_nozz_s">'Mechanical Design'!$C$37</definedName>
    <definedName name="OD_nozz_t">'Mechanical Design'!$H$37</definedName>
    <definedName name="OD_Shell">'Mechanical Design'!$C$13</definedName>
    <definedName name="OD_tube">'Tube Side'!$C$5</definedName>
    <definedName name="ODd">#REF!</definedName>
    <definedName name="overdesign">Results!$C$26</definedName>
    <definedName name="P_bell">'Shell Side'!$H$51</definedName>
    <definedName name="P_des_shell">Requirements!$E$15</definedName>
    <definedName name="P_des_tube">Requirements!$G$15</definedName>
    <definedName name="P_in_shell">Requirements!$E$12</definedName>
    <definedName name="P_in_t">Requirements!$F$15</definedName>
    <definedName name="P_in_tube">Requirements!$G$12</definedName>
    <definedName name="P_in_tubw">Requirements!$G$12</definedName>
    <definedName name="P_out_shell">Requirements!$E$13</definedName>
    <definedName name="P_out_tube">Requirements!$G$13</definedName>
    <definedName name="pass_tube">'Mechanical Design'!$H$21</definedName>
    <definedName name="phi_r">'Shell Side'!$H$40</definedName>
    <definedName name="phi_r_minus">'Shell Side'!$H$41</definedName>
    <definedName name="Pkomaki">Results!$M$27</definedName>
    <definedName name="Pr_in_shell_kern">'Shell Side'!$H$17</definedName>
    <definedName name="Pr_in_tube">'Tube Side'!$H$15</definedName>
    <definedName name="Pr_out_shell_kern">'Shell Side'!$D$26</definedName>
    <definedName name="Pr_out_tube">'Tube Side'!$H$21</definedName>
    <definedName name="Pr_s">'Shell Side'!$H$38</definedName>
    <definedName name="Pt_tube">'Shell Side'!$D$5</definedName>
    <definedName name="R_b">'Shell Side'!$H$58</definedName>
    <definedName name="R_l">'Shell Side'!$H$50</definedName>
    <definedName name="r_lm">'Shell Side'!$H$46</definedName>
    <definedName name="r_s">'Shell Side'!$H$48</definedName>
    <definedName name="R_s_ΔP">'Shell Side'!$L$59</definedName>
    <definedName name="r_ss">'Shell Side'!$H$53</definedName>
    <definedName name="Re_in_tube">'Tube Side'!$H$14</definedName>
    <definedName name="Re_out_tube">'Tube Side'!$H$20</definedName>
    <definedName name="Re_s">'Shell Side'!$H$36</definedName>
    <definedName name="Re_shell_in_kern">'Shell Side'!$H$14</definedName>
    <definedName name="Re_shell_out_kern">'Shell Side'!$D$23</definedName>
    <definedName name="Re_tube">'Tube Side'!$H$7</definedName>
    <definedName name="regime_tube">'Tube Side'!$H$8</definedName>
    <definedName name="Ro_a">'Tube Side'!#REF!</definedName>
    <definedName name="Ro_b">'Tube Side'!$N$7</definedName>
    <definedName name="ro_in_shell">'Mechanical Design'!$C$25</definedName>
    <definedName name="ro_material">'Mechanical Design'!$H$16</definedName>
    <definedName name="ssssss">[2]Requierements!$F$14</definedName>
    <definedName name="T_AVG_SHELL">'Shell Side'!$D$7</definedName>
    <definedName name="T_AVG_TUBE">'Tube Side'!$C$19</definedName>
    <definedName name="T_in_shell">Requirements!$E$8</definedName>
    <definedName name="T_in_tube">Requirements!$G$8</definedName>
    <definedName name="T_out_shell">Requirements!$E$9</definedName>
    <definedName name="T_out_tube">Requirements!$G$9</definedName>
    <definedName name="T_WALL">'Tube Side'!$H$9</definedName>
    <definedName name="T_wall_bel">'Shell Side'!$H$42</definedName>
    <definedName name="thick_sheet">'Mechanical Design'!$H$48</definedName>
    <definedName name="thick_shell">'Mechanical Design'!$C$11</definedName>
    <definedName name="thick_tube">'Tube Side'!$C$7</definedName>
    <definedName name="thickness_shell">'[1]Mechanical Design'!$G$73</definedName>
    <definedName name="total_A">Results!$H$17</definedName>
    <definedName name="tube_pitch">'Mechanical Design'!$H$14</definedName>
    <definedName name="U_0">Results!$H$6</definedName>
    <definedName name="U_1">Results!$H$6</definedName>
    <definedName name="U_1_kern">'Shell Side'!$H$23</definedName>
    <definedName name="U_bell">'Shell Side'!$L$49</definedName>
    <definedName name="U_calced">Results!$H$15</definedName>
    <definedName name="U_clean">Results!$M$10</definedName>
    <definedName name="U_dirty">Results!$M$9</definedName>
    <definedName name="v_nozz_avg_shell">'Shell Side'!$L$62</definedName>
    <definedName name="V_nozz_in_shell">'Mechanical Design'!$C$32</definedName>
    <definedName name="v_nozz_o_s">'Mechanical Design'!$C$40</definedName>
    <definedName name="v_nozz_out_s">'Mechanical Design'!$B$26:$C$40</definedName>
    <definedName name="vel_shell_avg">'Shell Side'!$H$37</definedName>
    <definedName name="vel_shell_in">'TEMA Datasheet'!$D$28</definedName>
    <definedName name="vel_tube_in">'TEMA Datasheet'!$I$28</definedName>
    <definedName name="velo_shell_in_kern">'Shell Side'!$H$13</definedName>
    <definedName name="velo_shell_out_kern">'Shell Side'!$D$22</definedName>
    <definedName name="velo_tube">'Tube Side'!$M$11</definedName>
    <definedName name="vol_baffle">'Mechanical Design'!$L$36</definedName>
    <definedName name="vol_shell">[4]Sheet1!$I$13</definedName>
    <definedName name="vol_tube_i">'Mechanical Design'!$H$18</definedName>
    <definedName name="vol_tube_o">'Mechanical Design'!$H$19</definedName>
    <definedName name="voll_shell">'Mechanical Design'!$C$16</definedName>
    <definedName name="yy">Results!$M$25</definedName>
    <definedName name="ΔP_bi">'Shell Side'!$L$53</definedName>
    <definedName name="ΔP_c">'Shell Side'!$L$54</definedName>
    <definedName name="ΔP_e">'Shell Side'!$L$56</definedName>
    <definedName name="ΔP_ns">'Shell Side'!$L$58</definedName>
    <definedName name="ΔP_s">'[2]Shell Side'!$C$14</definedName>
    <definedName name="ΔP_t.">'[2]Tube Side'!$M$22</definedName>
    <definedName name="ΔP_w">'Shell Side'!$L$55</definedName>
    <definedName name="σ_w_t">#REF!</definedName>
    <definedName name="Ψ_n">'Shell Side'!$D$42</definedName>
    <definedName name="Ѳ_ctl">'Shell Side'!$D$43</definedName>
    <definedName name="Ѳ_ds">'Shell Side'!$D$34</definedName>
    <definedName name="Ѳ_otl">'Shell Side'!$D$44</definedName>
  </definedNames>
  <calcPr calcId="150001" iterate="1" iterateCount="1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49" i="11" l="1"/>
  <c r="D39" i="12"/>
  <c r="D40" i="12"/>
  <c r="N13" i="4"/>
  <c r="N14" i="4"/>
  <c r="M7" i="8"/>
  <c r="C12" i="8"/>
  <c r="C14" i="8"/>
  <c r="C6" i="8"/>
  <c r="L57" i="6"/>
  <c r="L36" i="11"/>
  <c r="N28" i="12"/>
  <c r="H48" i="11"/>
  <c r="C6" i="9"/>
  <c r="D31" i="12"/>
  <c r="D32" i="12"/>
  <c r="D58" i="14"/>
  <c r="C51" i="11"/>
  <c r="C50" i="11"/>
  <c r="C49" i="11"/>
  <c r="C48" i="11"/>
  <c r="C47" i="11"/>
  <c r="C46" i="11"/>
  <c r="H38" i="11"/>
  <c r="H37" i="11"/>
  <c r="O79" i="4"/>
  <c r="H34" i="11"/>
  <c r="H30" i="11"/>
  <c r="H29" i="11"/>
  <c r="H26" i="11"/>
  <c r="H39" i="11"/>
  <c r="H31" i="11"/>
  <c r="O78" i="4"/>
  <c r="H25" i="11"/>
  <c r="C37" i="11"/>
  <c r="C38" i="11"/>
  <c r="C34" i="11"/>
  <c r="C39" i="11"/>
  <c r="N31" i="12"/>
  <c r="H37" i="14"/>
  <c r="E41" i="14"/>
  <c r="K32" i="14"/>
  <c r="D27" i="14"/>
  <c r="O119" i="4"/>
  <c r="K25" i="14"/>
  <c r="O118" i="4"/>
  <c r="I25" i="14"/>
  <c r="O137" i="4"/>
  <c r="G25" i="14"/>
  <c r="O136" i="4"/>
  <c r="D25" i="14"/>
  <c r="N16" i="4"/>
  <c r="K24" i="14"/>
  <c r="N15" i="4"/>
  <c r="I24" i="14"/>
  <c r="N36" i="4"/>
  <c r="G24" i="14"/>
  <c r="N35" i="4"/>
  <c r="D24" i="14"/>
  <c r="C56" i="4"/>
  <c r="O51" i="4"/>
  <c r="K21" i="14"/>
  <c r="C43" i="4"/>
  <c r="O50" i="4"/>
  <c r="I21" i="14"/>
  <c r="C70" i="4"/>
  <c r="O67" i="4"/>
  <c r="G21" i="14"/>
  <c r="C62" i="4"/>
  <c r="O66" i="4"/>
  <c r="D21" i="14"/>
  <c r="K20" i="14"/>
  <c r="I20" i="14"/>
  <c r="G20" i="14"/>
  <c r="D20" i="14"/>
  <c r="B7" i="14"/>
  <c r="L14" i="11"/>
  <c r="L9" i="11"/>
  <c r="L19" i="11"/>
  <c r="L35" i="11"/>
  <c r="L34" i="11"/>
  <c r="D17" i="12"/>
  <c r="H60" i="6"/>
  <c r="H52" i="6"/>
  <c r="C64" i="4"/>
  <c r="C68" i="4"/>
  <c r="D69" i="6"/>
  <c r="H8" i="6"/>
  <c r="H7" i="6"/>
  <c r="D35" i="6"/>
  <c r="L33" i="11"/>
  <c r="C30" i="11"/>
  <c r="C29" i="11"/>
  <c r="C26" i="11"/>
  <c r="C25" i="11"/>
  <c r="D57" i="6"/>
  <c r="C31" i="11"/>
  <c r="D58" i="6"/>
  <c r="H63" i="6"/>
  <c r="H62" i="6"/>
  <c r="D59" i="6"/>
  <c r="L59" i="6"/>
  <c r="D39" i="6"/>
  <c r="D34" i="6"/>
  <c r="D10" i="6"/>
  <c r="H14" i="11"/>
  <c r="D50" i="6"/>
  <c r="C15" i="8"/>
  <c r="C7" i="8"/>
  <c r="H61" i="6"/>
  <c r="D60" i="6"/>
  <c r="D61" i="6"/>
  <c r="D5" i="6"/>
  <c r="D53" i="6"/>
  <c r="D62" i="6"/>
  <c r="D67" i="6"/>
  <c r="C10" i="11"/>
  <c r="L28" i="11"/>
  <c r="L29" i="11"/>
  <c r="H64" i="6"/>
  <c r="L27" i="11"/>
  <c r="G11" i="2"/>
  <c r="G12" i="2"/>
  <c r="I27" i="14"/>
  <c r="E11" i="2"/>
  <c r="H27" i="11"/>
  <c r="H28" i="11"/>
  <c r="H35" i="11"/>
  <c r="H36" i="11"/>
  <c r="H40" i="11"/>
  <c r="H32" i="11"/>
  <c r="I16" i="14"/>
  <c r="K16" i="14"/>
  <c r="K14" i="14"/>
  <c r="I14" i="14"/>
  <c r="C40" i="11"/>
  <c r="D16" i="14"/>
  <c r="G16" i="14"/>
  <c r="G14" i="14"/>
  <c r="D14" i="14"/>
  <c r="C35" i="11"/>
  <c r="C36" i="11"/>
  <c r="C27" i="11"/>
  <c r="C28" i="11"/>
  <c r="C32" i="11"/>
  <c r="C53" i="14"/>
  <c r="D26" i="6"/>
  <c r="H21" i="9"/>
  <c r="H15" i="9"/>
  <c r="O138" i="4"/>
  <c r="H17" i="6"/>
  <c r="H38" i="6"/>
  <c r="O68" i="4"/>
  <c r="O103" i="4"/>
  <c r="O80" i="4"/>
  <c r="D4" i="6"/>
  <c r="D15" i="6"/>
  <c r="A11" i="14"/>
  <c r="L62" i="6"/>
  <c r="L58" i="6"/>
  <c r="H40" i="6"/>
  <c r="H41" i="6"/>
  <c r="H13" i="9"/>
  <c r="D7" i="6"/>
  <c r="C19" i="9"/>
  <c r="C6" i="11"/>
  <c r="H5" i="11"/>
  <c r="H12" i="11"/>
  <c r="H11" i="11"/>
  <c r="H9" i="9"/>
  <c r="H4" i="9"/>
  <c r="C4" i="9"/>
  <c r="C15" i="9"/>
  <c r="O120" i="4"/>
  <c r="H6" i="9"/>
  <c r="O48" i="4"/>
  <c r="O49" i="4"/>
  <c r="C16" i="9"/>
  <c r="D4" i="9"/>
  <c r="M24" i="8"/>
  <c r="M23" i="8"/>
  <c r="M25" i="8"/>
  <c r="M22" i="8"/>
  <c r="N33" i="4"/>
  <c r="N34" i="4"/>
  <c r="C22" i="8"/>
  <c r="C63" i="4"/>
  <c r="C65" i="4"/>
  <c r="C66" i="4"/>
  <c r="C67" i="4"/>
  <c r="C69" i="4"/>
  <c r="C44" i="4"/>
  <c r="C45" i="4"/>
  <c r="C46" i="4"/>
  <c r="C47" i="4"/>
  <c r="C48" i="4"/>
  <c r="C49" i="4"/>
  <c r="C50" i="4"/>
  <c r="C51" i="4"/>
  <c r="C52" i="4"/>
  <c r="C53" i="4"/>
  <c r="C54" i="4"/>
  <c r="C55" i="4"/>
  <c r="C11" i="9"/>
  <c r="C23" i="8"/>
  <c r="C25" i="8"/>
  <c r="H39" i="6"/>
  <c r="H10" i="11"/>
  <c r="O52" i="4"/>
  <c r="C10" i="9"/>
  <c r="C13" i="9"/>
  <c r="C12" i="9"/>
  <c r="C14" i="9"/>
  <c r="M27" i="8"/>
  <c r="M28" i="8"/>
  <c r="M29" i="8"/>
  <c r="C24" i="8"/>
  <c r="M30" i="8"/>
  <c r="K31" i="14"/>
  <c r="M5" i="8"/>
  <c r="C27" i="8"/>
  <c r="H16" i="8"/>
  <c r="H20" i="11"/>
  <c r="M6" i="8"/>
  <c r="D31" i="14"/>
  <c r="H18" i="11"/>
  <c r="C5" i="8"/>
  <c r="H17" i="8"/>
  <c r="D36" i="12"/>
  <c r="K9" i="14"/>
  <c r="N26" i="12"/>
  <c r="H19" i="11"/>
  <c r="D36" i="6"/>
  <c r="D37" i="6"/>
  <c r="D38" i="6"/>
  <c r="L15" i="11"/>
  <c r="B42" i="14"/>
  <c r="D51" i="6"/>
  <c r="D8" i="6"/>
  <c r="D9" i="6"/>
  <c r="L50" i="11"/>
  <c r="H5" i="9"/>
  <c r="I28" i="14"/>
  <c r="C12" i="11"/>
  <c r="L31" i="11"/>
  <c r="D22" i="12"/>
  <c r="D26" i="12"/>
  <c r="F9" i="14"/>
  <c r="D16" i="12"/>
  <c r="E44" i="14"/>
  <c r="H14" i="9"/>
  <c r="H16" i="9"/>
  <c r="H17" i="9"/>
  <c r="H20" i="9"/>
  <c r="H22" i="9"/>
  <c r="H23" i="9"/>
  <c r="K28" i="14"/>
  <c r="H7" i="9"/>
  <c r="H8" i="9"/>
  <c r="M11" i="9"/>
  <c r="D65" i="6"/>
  <c r="I48" i="14"/>
  <c r="D13" i="6"/>
  <c r="D14" i="6"/>
  <c r="H13" i="6"/>
  <c r="L4" i="6"/>
  <c r="C16" i="11"/>
  <c r="H57" i="14"/>
  <c r="N29" i="12"/>
  <c r="I58" i="14"/>
  <c r="L10" i="11"/>
  <c r="C13" i="11"/>
  <c r="G44" i="14"/>
  <c r="L5" i="6"/>
  <c r="D43" i="6"/>
  <c r="D46" i="6"/>
  <c r="D48" i="6"/>
  <c r="D47" i="6"/>
  <c r="D54" i="6"/>
  <c r="H53" i="6"/>
  <c r="D55" i="6"/>
  <c r="D56" i="6"/>
  <c r="H47" i="11"/>
  <c r="D44" i="6"/>
  <c r="D63" i="6"/>
  <c r="D45" i="6"/>
  <c r="D40" i="6"/>
  <c r="L20" i="11"/>
  <c r="C8" i="8"/>
  <c r="B6" i="14"/>
  <c r="M5" i="9"/>
  <c r="M6" i="9"/>
  <c r="M15" i="9"/>
  <c r="M16" i="9"/>
  <c r="G13" i="2"/>
  <c r="K27" i="14"/>
  <c r="D23" i="6"/>
  <c r="D27" i="6"/>
  <c r="D28" i="6"/>
  <c r="N33" i="12"/>
  <c r="H44" i="6"/>
  <c r="H45" i="6"/>
  <c r="M10" i="9"/>
  <c r="D68" i="6"/>
  <c r="H57" i="6"/>
  <c r="H14" i="6"/>
  <c r="H18" i="6"/>
  <c r="H19" i="6"/>
  <c r="D22" i="6"/>
  <c r="H27" i="6"/>
  <c r="H28" i="6"/>
  <c r="D49" i="6"/>
  <c r="D52" i="6"/>
  <c r="H47" i="6"/>
  <c r="H48" i="6"/>
  <c r="H51" i="6"/>
  <c r="N27" i="12"/>
  <c r="H59" i="6"/>
  <c r="N30" i="12"/>
  <c r="N35" i="12"/>
  <c r="D44" i="12"/>
  <c r="D46" i="12"/>
  <c r="H34" i="6"/>
  <c r="H35" i="6"/>
  <c r="H37" i="6"/>
  <c r="C16" i="8"/>
  <c r="C9" i="8"/>
  <c r="H22" i="6"/>
  <c r="N34" i="12"/>
  <c r="J29" i="14"/>
  <c r="L60" i="6"/>
  <c r="H46" i="6"/>
  <c r="H49" i="6"/>
  <c r="G28" i="14"/>
  <c r="D28" i="14"/>
  <c r="H36" i="6"/>
  <c r="H54" i="6"/>
  <c r="H56" i="6"/>
  <c r="H23" i="6"/>
  <c r="H42" i="6"/>
  <c r="H50" i="6"/>
  <c r="L55" i="6"/>
  <c r="L44" i="6"/>
  <c r="L45" i="6"/>
  <c r="L53" i="6"/>
  <c r="H55" i="6"/>
  <c r="H58" i="6"/>
  <c r="L56" i="6"/>
  <c r="L42" i="6"/>
  <c r="L43" i="6"/>
  <c r="H43" i="6"/>
  <c r="H65" i="6"/>
  <c r="L54" i="6"/>
  <c r="L49" i="6"/>
  <c r="M10" i="8"/>
  <c r="G32" i="14"/>
  <c r="C17" i="8"/>
  <c r="L61" i="6"/>
  <c r="H15" i="8"/>
  <c r="M9" i="8"/>
  <c r="E32" i="14"/>
  <c r="M8" i="8"/>
  <c r="E13" i="2"/>
  <c r="G27" i="14"/>
  <c r="E29" i="14"/>
  <c r="M11" i="8"/>
</calcChain>
</file>

<file path=xl/comments1.xml><?xml version="1.0" encoding="utf-8"?>
<comments xmlns="http://schemas.openxmlformats.org/spreadsheetml/2006/main">
  <authors>
    <author>Amin Adibi</author>
  </authors>
  <commentList>
    <comment ref="G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این یک تصمیم اولیه است که ممکن است بعداً نیاز به تصحیح داشته باشد
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+10% overdesign
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+10% overdesign
</t>
        </r>
      </text>
    </comment>
    <comment ref="E13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no less than 13.1 bar
</t>
        </r>
      </text>
    </comment>
    <comment ref="G13" authorId="0">
      <text>
        <r>
          <rPr>
            <b/>
            <sz val="9"/>
            <color indexed="81"/>
            <rFont val="Tahoma"/>
            <family val="2"/>
          </rPr>
          <t>Amin Adibi:
no less than 11.4 bar</t>
        </r>
      </text>
    </comment>
  </commentList>
</comments>
</file>

<file path=xl/comments2.xml><?xml version="1.0" encoding="utf-8"?>
<comments xmlns="http://schemas.openxmlformats.org/spreadsheetml/2006/main">
  <authors>
    <author>Amin Adibi</author>
  </authors>
  <commentList>
    <comment ref="N1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به جای ۲۰۳و ۲۰۳.۴ رو گرفته‌ام چون حوصله نداشتم!
</t>
        </r>
      </text>
    </comment>
    <comment ref="O4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این از کوچیک‌ترینشون هم کوچیک‌تر شد که! چرا؟
</t>
        </r>
      </text>
    </comment>
  </commentList>
</comments>
</file>

<file path=xl/comments3.xml><?xml version="1.0" encoding="utf-8"?>
<comments xmlns="http://schemas.openxmlformats.org/spreadsheetml/2006/main">
  <authors>
    <author>Amin Adibi</author>
  </authors>
  <commentList>
    <comment ref="M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surface required, without overdesign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surface actuall, with overdesign and other mechanically dicated parameters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duty required, without overdesign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duty actuall, with overdesign and other mechanically dicated parameters</t>
        </r>
      </text>
    </comment>
    <comment ref="H1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A / no. of shells
</t>
        </r>
      </text>
    </comment>
    <comment ref="B2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معیار رو گرمای بیش‌تر گرفته‌ام
</t>
        </r>
      </text>
    </comment>
    <comment ref="L25" authorId="0">
      <text>
        <r>
          <rPr>
            <b/>
            <sz val="9"/>
            <color indexed="81"/>
            <rFont val="Tahoma"/>
            <family val="2"/>
          </rPr>
          <t xml:space="preserve">Amin Adibi:
just for making f calculation easier
</t>
        </r>
      </text>
    </comment>
    <comment ref="L2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Number of Series Shells!
</t>
        </r>
      </text>
    </comment>
    <comment ref="L30" authorId="0">
      <text>
        <r>
          <rPr>
            <b/>
            <sz val="9"/>
            <color indexed="81"/>
            <rFont val="Tahoma"/>
            <family val="2"/>
          </rPr>
          <t xml:space="preserve">Amin Adibi
formula need to be verifed manually
</t>
        </r>
      </text>
    </comment>
  </commentList>
</comments>
</file>

<file path=xl/comments4.xml><?xml version="1.0" encoding="utf-8"?>
<comments xmlns="http://schemas.openxmlformats.org/spreadsheetml/2006/main">
  <authors>
    <author>Amin Adibi</author>
    <author>FoX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فقط دو و چهار گذر رو ساپورت می‌کنه
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Recommended Minimum Baffle Spacing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18]
double-segmental baffles 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Tube Pitch</t>
        </r>
      </text>
    </comment>
    <comment ref="D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16] 
[Ref. 6]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Recommended Maximum Baffle Spacing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18] for double-segmental baffles
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Baffle Spacing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قطر دسته لوله‌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5, P.646 Fig12.10]
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ΔP Correction Factor</t>
        </r>
      </text>
    </comment>
    <comment ref="L1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18]
30% to 50%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h Correction Factor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18]
60% - 80%</t>
        </r>
      </text>
    </comment>
    <comment ref="C1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قطر معادل کرن
</t>
        </r>
      </text>
    </comment>
    <comment ref="G1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دستی، از روی نمودار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Currently Based on 
Re=100'000
</t>
        </r>
      </text>
    </comment>
    <comment ref="G1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دستی، از روی نمودار</t>
        </r>
      </text>
    </comment>
    <comment ref="H1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Currently Based on 
Re=100'000</t>
        </r>
      </text>
    </comment>
    <comment ref="G22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minimum value of h</t>
        </r>
      </text>
    </comment>
    <comment ref="C2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دستی، از روی نمودار</t>
        </r>
      </text>
    </comment>
    <comment ref="C2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دستی، از روی نمودار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تو جزوه ننوشته حتماً پاسکاله
!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افت فشار نازل محاسبه نشده</t>
        </r>
      </text>
    </comment>
    <comment ref="C3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زاویه‌ی قطاع حاصل از دو شعاع گذرنده بر لبه‌های برش</t>
        </r>
      </text>
    </comment>
    <comment ref="G3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ضریب تصحیح شده به خاطر تبدیل از میلی‌متر مربع به متر مربع، 
[Ref. 1, P.11]
</t>
        </r>
      </text>
    </comment>
    <comment ref="C3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Baffle Cut</t>
        </r>
      </text>
    </comment>
    <comment ref="G3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رینولدز طرف پوسته از روش بل</t>
        </r>
      </text>
    </comment>
    <comment ref="G3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سرعت پوسته</t>
        </r>
      </text>
    </comment>
    <comment ref="C3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قطر پوسته
</t>
        </r>
      </text>
    </comment>
    <comment ref="D3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به اینچ بالاتر رند می‌کند
</t>
        </r>
      </text>
    </comment>
    <comment ref="G4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تصحیح ویسکوزیته
</t>
        </r>
      </text>
    </comment>
    <comment ref="H4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ویسکوزیته‌ی دیواره را دستی گذاشته‌ایم
برای دمای 219
</t>
        </r>
      </text>
    </comment>
    <comment ref="D4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ضریب بل، ص ۱۰۶</t>
        </r>
      </text>
    </comment>
    <comment ref="G4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تصحیح ویسکوزیته برای محاسبه افت فشار</t>
        </r>
      </text>
    </comment>
    <comment ref="C42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ضریب تصحیح از شکل ۷-۴</t>
        </r>
      </text>
    </comment>
    <comment ref="D42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نیاز به سعی و خطای دستی داره
D_ctl با توجه به
</t>
        </r>
      </text>
    </comment>
    <comment ref="C43" authorId="1">
      <text>
        <r>
          <rPr>
            <b/>
            <sz val="8"/>
            <color indexed="81"/>
            <rFont val="Tahoma"/>
            <family val="2"/>
          </rPr>
          <t>Amin:</t>
        </r>
        <r>
          <rPr>
            <sz val="8"/>
            <color indexed="81"/>
            <rFont val="Tahoma"/>
            <family val="2"/>
          </rPr>
          <t xml:space="preserve">
زاویه حاصل از دو شعاع گذرنده بر دایره ای که از مراکز بیرونی ترین لوله ها می گذرد</t>
        </r>
      </text>
    </comment>
    <comment ref="C44" authorId="1">
      <text>
        <r>
          <rPr>
            <b/>
            <sz val="8"/>
            <color indexed="81"/>
            <rFont val="Tahoma"/>
            <family val="2"/>
          </rPr>
          <t>Amin:</t>
        </r>
        <r>
          <rPr>
            <sz val="8"/>
            <color indexed="81"/>
            <rFont val="Tahoma"/>
            <family val="2"/>
          </rPr>
          <t xml:space="preserve">
زاویه حاصل از دو شعاع گذرنده بر دایره ای که بر  بیرونی ترین لوله ها مماس است </t>
        </r>
      </text>
    </comment>
    <comment ref="C4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سطح ناخالص پنجره‌ی بین بفل و پوسته</t>
        </r>
      </text>
    </comment>
    <comment ref="C4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کسری از تعداد کل لوله‌ها که در یک بفل‌کات وجود دارد،
باید بعداً تصحیحش کنیم بر اساس دابل سگمنتال</t>
        </r>
      </text>
    </comment>
    <comment ref="C4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سطح مقطع پنجره‌ی اشغال شده توسط لوله‌ها</t>
        </r>
      </text>
    </comment>
    <comment ref="C4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تعداد لوله‌های گذرنده از پنجره</t>
        </r>
      </text>
    </comment>
    <comment ref="C4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سطح خالص عبور سیال از پنجره
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pitch</t>
        </r>
      </text>
    </comment>
    <comment ref="C5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تعداد کل لوله‌ها برای بیش از یک گذر
</t>
        </r>
      </text>
    </comment>
    <comment ref="C52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قطر معادل برای پنجره
</t>
        </r>
      </text>
    </comment>
    <comment ref="G52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تعداد روبان‌های آب‌بندی
</t>
        </r>
      </text>
    </comment>
    <comment ref="C53" authorId="1">
      <text>
        <r>
          <rPr>
            <b/>
            <sz val="8"/>
            <color indexed="81"/>
            <rFont val="Tahoma"/>
            <family val="2"/>
          </rPr>
          <t>FoX:</t>
        </r>
        <r>
          <rPr>
            <sz val="8"/>
            <color indexed="81"/>
            <rFont val="Tahoma"/>
            <family val="2"/>
          </rPr>
          <t xml:space="preserve">
تصویر فاصله محور تا محور بین دو لوله مجاور در امتداد جریان</t>
        </r>
      </text>
    </comment>
    <comment ref="D53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در آرایش مربعی همان پیچ است</t>
        </r>
      </text>
    </comment>
    <comment ref="C5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تعداد لوله‌های موثر در جریان متعامد
</t>
        </r>
      </text>
    </comment>
    <comment ref="K5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افت جریان متعامد</t>
        </r>
      </text>
    </comment>
    <comment ref="C5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فاصله‌ی موثر لبه‌ی برش بفل تا محور دسته لوله‌ها</t>
        </r>
      </text>
    </comment>
    <comment ref="K5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افت پنجره</t>
        </r>
      </text>
    </comment>
    <comment ref="C5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تعداد موثر لوله‌ها در پنجره
</t>
        </r>
      </text>
    </comment>
    <comment ref="K5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افت دو سر انتهایی</t>
        </r>
      </text>
    </comment>
    <comment ref="C57" authorId="1">
      <text>
        <r>
          <rPr>
            <b/>
            <sz val="8"/>
            <color indexed="81"/>
            <rFont val="Tahoma"/>
            <family val="2"/>
          </rPr>
          <t>Amin:</t>
        </r>
        <r>
          <rPr>
            <sz val="8"/>
            <color indexed="81"/>
            <rFont val="Tahoma"/>
            <family val="2"/>
          </rPr>
          <t xml:space="preserve">
فاصله بین دو بفل میانی</t>
        </r>
      </text>
    </comment>
    <comment ref="H5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17]</t>
        </r>
      </text>
    </comment>
    <comment ref="L5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S_n = S-e =&gt; K_ns=2</t>
        </r>
      </text>
    </comment>
    <comment ref="C58" authorId="1">
      <text>
        <r>
          <rPr>
            <b/>
            <sz val="8"/>
            <color indexed="81"/>
            <rFont val="Tahoma"/>
            <family val="2"/>
          </rPr>
          <t>FoX:</t>
        </r>
        <r>
          <rPr>
            <sz val="8"/>
            <color indexed="81"/>
            <rFont val="Tahoma"/>
            <family val="2"/>
          </rPr>
          <t xml:space="preserve">
طول لوله بین دو صفحه انتهای نگهدارنده</t>
        </r>
      </text>
    </comment>
    <comment ref="D5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 ضرب در دو کردم</t>
        </r>
      </text>
    </comment>
    <comment ref="K5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افت فشار ناشی از نازل‌ها
(چهار تا نازل داریم)</t>
        </r>
      </text>
    </comment>
    <comment ref="C59" authorId="1">
      <text>
        <r>
          <rPr>
            <b/>
            <sz val="8"/>
            <color indexed="81"/>
            <rFont val="Tahoma"/>
            <family val="2"/>
          </rPr>
          <t>FoX:</t>
        </r>
        <r>
          <rPr>
            <sz val="8"/>
            <color indexed="81"/>
            <rFont val="Tahoma"/>
            <family val="2"/>
          </rPr>
          <t xml:space="preserve">
فاصله دو بفل در خروجی</t>
        </r>
      </text>
    </comment>
    <comment ref="C6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1, P109]
</t>
        </r>
      </text>
    </comment>
    <comment ref="H6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Re is always bigger than 100</t>
        </r>
      </text>
    </comment>
    <comment ref="C6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تعداد بفل‌ها به روایت بل</t>
        </r>
      </text>
    </comment>
    <comment ref="K6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افت فشار کل پوسته</t>
        </r>
      </text>
    </comment>
    <comment ref="L6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افت فشار انتهایی به تعداد پوسته‌ها، افت فشار نازل حساب نشده</t>
        </r>
      </text>
    </comment>
    <comment ref="C62" authorId="1">
      <text>
        <r>
          <rPr>
            <b/>
            <sz val="8"/>
            <color indexed="81"/>
            <rFont val="Tahoma"/>
            <family val="2"/>
          </rPr>
          <t>FoX:</t>
        </r>
        <r>
          <rPr>
            <sz val="8"/>
            <color indexed="81"/>
            <rFont val="Tahoma"/>
            <family val="2"/>
          </rPr>
          <t xml:space="preserve">
عرض بین دو لوله مجاور که تشکیل مجرای عبوری میدهد</t>
        </r>
      </text>
    </comment>
    <comment ref="D62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12]</t>
        </r>
      </text>
    </comment>
    <comment ref="C64" authorId="1">
      <text>
        <r>
          <rPr>
            <b/>
            <sz val="8"/>
            <color indexed="81"/>
            <rFont val="Tahoma"/>
            <family val="2"/>
          </rPr>
          <t>FoX:</t>
        </r>
        <r>
          <rPr>
            <sz val="8"/>
            <color indexed="81"/>
            <rFont val="Tahoma"/>
            <family val="2"/>
          </rPr>
          <t xml:space="preserve">
تفاوت قطر پوسته و قطر بفل . یعنی دوبرابر فاصله نشتی</t>
        </r>
      </text>
    </comment>
    <comment ref="D6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12]</t>
        </r>
      </text>
    </comment>
    <comment ref="G6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ضریب انتقال حرارت تصحیح شده‌ی بل</t>
        </r>
      </text>
    </comment>
    <comment ref="D6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12]</t>
        </r>
      </text>
    </comment>
    <comment ref="C6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حداقل معبر در جریان متعامد بین دو بفل در وسط مبدل
 </t>
        </r>
      </text>
    </comment>
  </commentList>
</comments>
</file>

<file path=xl/comments5.xml><?xml version="1.0" encoding="utf-8"?>
<comments xmlns="http://schemas.openxmlformats.org/spreadsheetml/2006/main">
  <authors>
    <author>Amin Adibi</author>
    <author>FoX</author>
    <author>motti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جریانی که وارد مجموع همه‌ی تیوب‌ها می‌شود
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smooth pipes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سرعت جرمی بر واحد سطح به ازای هر لوله
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Blasius Eq.
</t>
        </r>
      </text>
    </comment>
    <comment ref="B6" authorId="1">
      <text>
        <r>
          <rPr>
            <b/>
            <sz val="8"/>
            <color indexed="81"/>
            <rFont val="Tahoma"/>
            <family val="2"/>
          </rPr>
          <t>Amin Adibi:</t>
        </r>
        <r>
          <rPr>
            <sz val="8"/>
            <color indexed="81"/>
            <rFont val="Tahoma"/>
            <family val="2"/>
          </rPr>
          <t xml:space="preserve">
قطر درونی لوله که برابر قطر معادل هم هست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Fannig Friction Factor, f/4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Based on [Ref.3] Section 28-29, Minimum Tesile Stress for Carbon Steel is 345MPa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9]
</t>
        </r>
      </text>
    </comment>
    <comment ref="L1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the smaller h
</t>
        </r>
      </text>
    </comment>
    <comment ref="G13" authorId="2">
      <text>
        <r>
          <rPr>
            <b/>
            <sz val="9"/>
            <color indexed="81"/>
            <rFont val="Tahoma"/>
            <family val="2"/>
          </rPr>
          <t>motti:</t>
        </r>
        <r>
          <rPr>
            <sz val="9"/>
            <color indexed="81"/>
            <rFont val="Tahoma"/>
            <family val="2"/>
          </rPr>
          <t xml:space="preserve">
توان پرنتل
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همه‌ی ظرفیت‌گرمایی‌ها باید در هزار ضرب می‌شوند، برای تبدیل کیلوژول به ژول
</t>
        </r>
      </text>
    </comment>
    <comment ref="M1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طول لوله در تعداد پوسته ضرب شده
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چون فعلاً زبری توش نیست مستقل از طول هستند
آیا به دلیل استفاده از دو پوسته باید جدا جدا دو تا افت فشار حساب کنیم؟
</t>
        </r>
      </text>
    </comment>
  </commentList>
</comments>
</file>

<file path=xl/comments6.xml><?xml version="1.0" encoding="utf-8"?>
<comments xmlns="http://schemas.openxmlformats.org/spreadsheetml/2006/main">
  <authors>
    <author>Amin Adibi</author>
    <author>motti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[Ref.6]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3]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3]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As Tehran Mobaddel suggests</t>
        </r>
      </text>
    </comment>
    <comment ref="C1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[Ref.6] Tabe CB3.13</t>
        </r>
      </text>
    </comment>
    <comment ref="G13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From McCabe Appendices
</t>
        </r>
      </text>
    </comment>
    <comment ref="H1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[Ref.9]</t>
        </r>
      </text>
    </comment>
    <comment ref="G1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حجم مجموع لوله‌ها بر اساس قطر داخلی</t>
        </r>
      </text>
    </comment>
    <comment ref="G1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حجم مجموع لوله‌ها بر اساس قطر خارجی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motti:</t>
        </r>
        <r>
          <rPr>
            <sz val="9"/>
            <color indexed="81"/>
            <rFont val="Tahoma"/>
            <family val="2"/>
          </rPr>
          <t xml:space="preserve">
تعداد لوله‌ها، رفت یا رفت و برگشت، محاسبه بر اساس سطح حرارت
</t>
        </r>
      </text>
    </comment>
    <comment ref="H2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به عدد زوج بالایی رند می‌کندش
</t>
        </r>
      </text>
    </comment>
    <comment ref="C2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10 ft/s [Ref. 2 P.128]</t>
        </r>
      </text>
    </comment>
    <comment ref="K2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Number of Baffles</t>
        </r>
      </text>
    </comment>
    <comment ref="C2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6 in. [Ref.3, Table10.18]
Why are Nominal and OD values different? </t>
        </r>
      </text>
    </comment>
    <comment ref="C3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Sch. 160 [Ref.3, Table10.18]</t>
        </r>
      </text>
    </comment>
    <comment ref="K3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ارتفاع نیم‌تاج بالایی بفل نوع آ  </t>
        </r>
      </text>
    </comment>
    <comment ref="L32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6,Table R-4.41]</t>
        </r>
      </text>
    </comment>
    <comment ref="K3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حجم مجموع بفل‌ها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6 in. [Ref.3, Table10.18]</t>
        </r>
      </text>
    </comment>
    <comment ref="C3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Sch. 160 [Ref.3, Table10.18]</t>
        </r>
      </text>
    </comment>
    <comment ref="L4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6,Table R-4.71]</t>
        </r>
      </text>
    </comment>
    <comment ref="L4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6,Table R-4.71]</t>
        </r>
      </text>
    </comment>
    <comment ref="C4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5, P.858-6]</t>
        </r>
      </text>
    </comment>
    <comment ref="C46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20, P.342]</t>
        </r>
      </text>
    </comment>
    <comment ref="C4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20, P.342]
</t>
        </r>
      </text>
    </comment>
    <comment ref="C4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20, P.342]
</t>
        </r>
      </text>
    </comment>
    <comment ref="H48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6, Table R-4.41]</t>
        </r>
      </text>
    </comment>
    <comment ref="C4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20, P.342]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20, P.342]</t>
        </r>
      </text>
    </comment>
    <comment ref="C5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20, P.342]</t>
        </r>
      </text>
    </comment>
  </commentList>
</comments>
</file>

<file path=xl/comments7.xml><?xml version="1.0" encoding="utf-8"?>
<comments xmlns="http://schemas.openxmlformats.org/spreadsheetml/2006/main">
  <authors>
    <author>Amin Adibi</author>
  </authors>
  <commentList>
    <comment ref="C17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از جدول</t>
        </r>
      </text>
    </comment>
    <comment ref="C2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Chemical Engineering Cost Index</t>
        </r>
      </text>
    </comment>
    <comment ref="D21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CE_index, May 2010
[Ref. 10]</t>
        </r>
      </text>
    </comment>
    <comment ref="D22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unacceptably high</t>
        </r>
      </text>
    </comment>
    <comment ref="C2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5]
</t>
        </r>
      </text>
    </comment>
    <comment ref="N29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چهار تا تیوب‌شیت داریم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5, Figure 6.3b] -&gt;</t>
        </r>
      </text>
    </comment>
    <comment ref="N30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17]</t>
        </r>
      </text>
    </comment>
    <comment ref="C3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[Ref. 8, Fig. 14.18]
</t>
        </r>
      </text>
    </comment>
    <comment ref="D45" authorId="0">
      <text>
        <r>
          <rPr>
            <b/>
            <sz val="9"/>
            <color indexed="81"/>
            <rFont val="Tahoma"/>
            <family val="2"/>
          </rPr>
          <t>Amin Adibi:</t>
        </r>
        <r>
          <rPr>
            <sz val="9"/>
            <color indexed="81"/>
            <rFont val="Tahoma"/>
            <family val="2"/>
          </rPr>
          <t xml:space="preserve">
Petro-San'at-e Novin-Etemad Co
</t>
        </r>
      </text>
    </comment>
  </commentList>
</comments>
</file>

<file path=xl/sharedStrings.xml><?xml version="1.0" encoding="utf-8"?>
<sst xmlns="http://schemas.openxmlformats.org/spreadsheetml/2006/main" count="1011" uniqueCount="604">
  <si>
    <t>Motahhare Safiallah</t>
  </si>
  <si>
    <t>Mohammad Amin Adibi</t>
  </si>
  <si>
    <t>Cold Stream</t>
  </si>
  <si>
    <t>Hot Stream</t>
  </si>
  <si>
    <t>Tube Side</t>
  </si>
  <si>
    <t>Shell Side</t>
  </si>
  <si>
    <t>Tin</t>
  </si>
  <si>
    <t>Tout</t>
  </si>
  <si>
    <t>mdot</t>
  </si>
  <si>
    <t>kg/s</t>
  </si>
  <si>
    <t>Pin</t>
  </si>
  <si>
    <t>bar</t>
  </si>
  <si>
    <t>Pout</t>
  </si>
  <si>
    <t>P_Design</t>
  </si>
  <si>
    <t>Fouling</t>
  </si>
  <si>
    <t>BTX Aromatics</t>
  </si>
  <si>
    <t>°C</t>
  </si>
  <si>
    <t>C9 aromatics</t>
  </si>
  <si>
    <t>m^2K/kW</t>
  </si>
  <si>
    <t>Table 1 - BTX (Cold Stream)</t>
  </si>
  <si>
    <t>Temp.</t>
  </si>
  <si>
    <t>Viscosity</t>
  </si>
  <si>
    <t>Density</t>
  </si>
  <si>
    <t>Cp</t>
  </si>
  <si>
    <t>k</t>
  </si>
  <si>
    <t>cP</t>
  </si>
  <si>
    <t>kg/m^3</t>
  </si>
  <si>
    <t>kJ/(kgK)</t>
  </si>
  <si>
    <t>W/(mK)</t>
  </si>
  <si>
    <t>Table 2 - C9 (Hot Stream)</t>
  </si>
  <si>
    <t>Hot - Tube Side</t>
  </si>
  <si>
    <t>Cold - Shell Side</t>
  </si>
  <si>
    <t>kg/m·s</t>
  </si>
  <si>
    <t>Visosity</t>
  </si>
  <si>
    <t>a_cp_tube</t>
  </si>
  <si>
    <t>b_cp_tube</t>
  </si>
  <si>
    <t>a_cp_shell</t>
  </si>
  <si>
    <t>b_cp_shell</t>
  </si>
  <si>
    <t>intgrl_cp_tube</t>
  </si>
  <si>
    <t>avg_cp_tube</t>
  </si>
  <si>
    <t>intgrl_cp_shell</t>
  </si>
  <si>
    <t>avg_cp_shell</t>
  </si>
  <si>
    <t>duty_max</t>
  </si>
  <si>
    <t>duty _tube</t>
  </si>
  <si>
    <t>duty_shell</t>
  </si>
  <si>
    <t xml:space="preserve">ovrdsgn (%) </t>
  </si>
  <si>
    <t>duty_design</t>
  </si>
  <si>
    <t>LMTD</t>
  </si>
  <si>
    <t>F_LMTD</t>
  </si>
  <si>
    <t>A</t>
  </si>
  <si>
    <t>Fkomaki</t>
  </si>
  <si>
    <t>P'komaki</t>
  </si>
  <si>
    <t>LMTD_A</t>
  </si>
  <si>
    <t>LMTD_N</t>
  </si>
  <si>
    <t>LMTD_R</t>
  </si>
  <si>
    <t>LMTD_P</t>
  </si>
  <si>
    <t>LMTD_P'</t>
  </si>
  <si>
    <t>cp_design</t>
  </si>
  <si>
    <t>W</t>
  </si>
  <si>
    <t>m^2</t>
  </si>
  <si>
    <t>m</t>
  </si>
  <si>
    <t>Wall Thickness</t>
  </si>
  <si>
    <t>Material</t>
  </si>
  <si>
    <t>W/m.K</t>
  </si>
  <si>
    <t>kg/(m.s)</t>
  </si>
  <si>
    <t>ΔP_allowable</t>
  </si>
  <si>
    <t>debi_tube</t>
  </si>
  <si>
    <t>OD_tube</t>
  </si>
  <si>
    <t>ID_tube</t>
  </si>
  <si>
    <t>ΔP_tot_tube</t>
  </si>
  <si>
    <t>P_in_tube</t>
  </si>
  <si>
    <t>J/kg</t>
  </si>
  <si>
    <t>k_solid_tube</t>
  </si>
  <si>
    <t>a_mu_tube</t>
  </si>
  <si>
    <t>b_mu_tube</t>
  </si>
  <si>
    <t>intgrl_mu_tube</t>
  </si>
  <si>
    <t>avg_mu_tube</t>
  </si>
  <si>
    <t>cp_tube_in</t>
  </si>
  <si>
    <t>cp_tube_out</t>
  </si>
  <si>
    <t>mu_tube_in</t>
  </si>
  <si>
    <t>mu_tube_out</t>
  </si>
  <si>
    <t>k_tube_in</t>
  </si>
  <si>
    <t>k_tube_out</t>
  </si>
  <si>
    <t>Cp_tube_in</t>
  </si>
  <si>
    <t>μ_tube_out</t>
  </si>
  <si>
    <t>μ_tube_in</t>
  </si>
  <si>
    <t>Cp_tube_iout</t>
  </si>
  <si>
    <t>Re</t>
  </si>
  <si>
    <t>density_tube</t>
  </si>
  <si>
    <t>density_tube_in</t>
  </si>
  <si>
    <t>density_tube_out</t>
  </si>
  <si>
    <t>denitys_tube_avg</t>
  </si>
  <si>
    <t>G</t>
  </si>
  <si>
    <t>kg/(m^2.S)</t>
  </si>
  <si>
    <t>k_tube_avg</t>
  </si>
  <si>
    <t>Regime</t>
  </si>
  <si>
    <t>CS</t>
  </si>
  <si>
    <t>mu_tube_avg</t>
  </si>
  <si>
    <t>References</t>
  </si>
  <si>
    <t>Type</t>
  </si>
  <si>
    <t>Corrosion allowance</t>
  </si>
  <si>
    <t>Joint efficiency</t>
  </si>
  <si>
    <t>Min. Thickness</t>
  </si>
  <si>
    <t>Used Thickness</t>
  </si>
  <si>
    <t>ID</t>
  </si>
  <si>
    <t>OD</t>
  </si>
  <si>
    <t>Length</t>
  </si>
  <si>
    <t>Max. Allowable Stress</t>
  </si>
  <si>
    <t>Design Temperature</t>
  </si>
  <si>
    <t>_</t>
  </si>
  <si>
    <t>Shell</t>
  </si>
  <si>
    <t>Design Pressure</t>
  </si>
  <si>
    <t>Corrosion Allowance</t>
  </si>
  <si>
    <t>Joint Efficiency</t>
  </si>
  <si>
    <t>Nominal Size</t>
  </si>
  <si>
    <t>Thickness</t>
  </si>
  <si>
    <t>BWG</t>
  </si>
  <si>
    <t>Pitch</t>
  </si>
  <si>
    <t>Pattern</t>
  </si>
  <si>
    <t>Number of Tubes</t>
  </si>
  <si>
    <t>Number of Passes</t>
  </si>
  <si>
    <t>Tube</t>
  </si>
  <si>
    <t>CS Density</t>
  </si>
  <si>
    <t>degrees</t>
  </si>
  <si>
    <t>inch</t>
  </si>
  <si>
    <t>T-bulk_tube</t>
  </si>
  <si>
    <t>Pr</t>
  </si>
  <si>
    <t>Re_in_tube</t>
  </si>
  <si>
    <t>Re_out_tube</t>
  </si>
  <si>
    <t>mu_wall_tube</t>
  </si>
  <si>
    <t>Nu</t>
  </si>
  <si>
    <t>b</t>
  </si>
  <si>
    <t>h_tube_in</t>
  </si>
  <si>
    <t>h_tube_out</t>
  </si>
  <si>
    <t>h_tube</t>
  </si>
  <si>
    <t>W/(m^2.K)</t>
  </si>
  <si>
    <t>h at the beginning of tube</t>
  </si>
  <si>
    <t>h at the end of tube</t>
  </si>
  <si>
    <t>T_wall</t>
  </si>
  <si>
    <t>T_avg_shell</t>
  </si>
  <si>
    <t xml:space="preserve">Service of Unit : </t>
  </si>
  <si>
    <t xml:space="preserve"> Type : </t>
  </si>
  <si>
    <t xml:space="preserve">Horizontal : </t>
  </si>
  <si>
    <t>Connected :</t>
  </si>
  <si>
    <t>Vertical :</t>
  </si>
  <si>
    <t xml:space="preserve">Series : </t>
  </si>
  <si>
    <t>No. of Units :</t>
  </si>
  <si>
    <t>Gross :</t>
  </si>
  <si>
    <t>Shells/Unit :</t>
  </si>
  <si>
    <t>m²</t>
  </si>
  <si>
    <t>Net :</t>
  </si>
  <si>
    <t xml:space="preserve">        SHELL SIDE</t>
  </si>
  <si>
    <t xml:space="preserve">   TUBE SIIDE</t>
  </si>
  <si>
    <t>Fluid Allocation</t>
  </si>
  <si>
    <t>Inlet</t>
  </si>
  <si>
    <t>Outlet</t>
  </si>
  <si>
    <t xml:space="preserve">      Inlet  </t>
  </si>
  <si>
    <t>Fluid Name</t>
  </si>
  <si>
    <t>Fluid Quantity, Total (kg/s)</t>
  </si>
  <si>
    <t xml:space="preserve">Vapor </t>
  </si>
  <si>
    <t>Liquid</t>
  </si>
  <si>
    <t>Steam</t>
  </si>
  <si>
    <t>Noncondensable</t>
  </si>
  <si>
    <t>Temperature        C</t>
  </si>
  <si>
    <t>Density (kg/m³)</t>
  </si>
  <si>
    <t>Viscosity (kg/m.s)</t>
  </si>
  <si>
    <t>Molecular Weight, Vapour</t>
  </si>
  <si>
    <t>Molecular Weight, Nc.</t>
  </si>
  <si>
    <t>Inlet Pressure (bar)</t>
  </si>
  <si>
    <t>Velocity (m/s)</t>
  </si>
  <si>
    <t>Pressure Drop,Allow./Calc.(Pa)</t>
  </si>
  <si>
    <t>Fouling Resist. (m².c/w)</t>
  </si>
  <si>
    <t>Heat Exchanged (kw)</t>
  </si>
  <si>
    <t>L.M.T.D Corrected :</t>
  </si>
  <si>
    <t>Transfer Rate, (w/m².c)</t>
  </si>
  <si>
    <t>Dirty :</t>
  </si>
  <si>
    <t xml:space="preserve">Clean : </t>
  </si>
  <si>
    <t xml:space="preserve">% Over Design: </t>
  </si>
  <si>
    <t xml:space="preserve"> CONSTRUCTION</t>
  </si>
  <si>
    <t>Skech</t>
  </si>
  <si>
    <t>SHELL SIDE</t>
  </si>
  <si>
    <t>TUBE SIDE</t>
  </si>
  <si>
    <t>Design/Test pressure (kPa)</t>
  </si>
  <si>
    <t xml:space="preserve">Number of Passes </t>
  </si>
  <si>
    <t>Corrosion allowance(mm)</t>
  </si>
  <si>
    <t xml:space="preserve">Connections             Size   </t>
  </si>
  <si>
    <t xml:space="preserve">                                   Rating</t>
  </si>
  <si>
    <t xml:space="preserve">Tube No. : Per Shell      </t>
  </si>
  <si>
    <t>BWG :</t>
  </si>
  <si>
    <t>Tube Type :</t>
  </si>
  <si>
    <t>Material:</t>
  </si>
  <si>
    <t xml:space="preserve">Shell              </t>
  </si>
  <si>
    <t>OD :(mm)</t>
  </si>
  <si>
    <t>Shell Cover :</t>
  </si>
  <si>
    <t>Channel or Bonnet :</t>
  </si>
  <si>
    <t xml:space="preserve"> </t>
  </si>
  <si>
    <t>Channel Cover :</t>
  </si>
  <si>
    <t>Tubesheet-Stationary :</t>
  </si>
  <si>
    <t>Tubesheet-Floating :</t>
  </si>
  <si>
    <t>Floating Head Cover :</t>
  </si>
  <si>
    <t/>
  </si>
  <si>
    <t>Impingement Protection :</t>
  </si>
  <si>
    <t>Baffle-Crossing :</t>
  </si>
  <si>
    <t>Diameter :</t>
  </si>
  <si>
    <t>Baffle-Long :mm</t>
  </si>
  <si>
    <t>Seal Type :</t>
  </si>
  <si>
    <t>Supports-Tube :</t>
  </si>
  <si>
    <t>U-bend :</t>
  </si>
  <si>
    <t>Type :</t>
  </si>
  <si>
    <t>Bypass Seal Arrangement :</t>
  </si>
  <si>
    <t>RhoV2-Inlet Nozzle :</t>
  </si>
  <si>
    <t>Bundle Intrance :</t>
  </si>
  <si>
    <t>Bundle Exit :-</t>
  </si>
  <si>
    <t>Gaskets - Shell Side :</t>
  </si>
  <si>
    <t>Floating head :</t>
  </si>
  <si>
    <t>TEMA Class :</t>
  </si>
  <si>
    <t>Filled With Water  per Shell:</t>
  </si>
  <si>
    <t>Estimated Total Cost  :</t>
  </si>
  <si>
    <t>$</t>
  </si>
  <si>
    <t>Sign</t>
  </si>
  <si>
    <t>Size :(mm)</t>
  </si>
  <si>
    <t xml:space="preserve">Parallel : </t>
  </si>
  <si>
    <t>Surf/unit :m2</t>
  </si>
  <si>
    <t>Surf/shell :m²</t>
  </si>
  <si>
    <t xml:space="preserve">OD :   (mm)        </t>
  </si>
  <si>
    <t>Length :  (m)</t>
  </si>
  <si>
    <t>ID :(mm)</t>
  </si>
  <si>
    <t>Area :m2</t>
  </si>
  <si>
    <t>Weight/Shell&amp;Bundle Empty Kg:</t>
  </si>
  <si>
    <t>Bundle Only :Kg</t>
  </si>
  <si>
    <t>Customer : Prof. Fatola Farhadi</t>
  </si>
  <si>
    <t>m/s</t>
  </si>
  <si>
    <t>ε/d</t>
  </si>
  <si>
    <t>f</t>
  </si>
  <si>
    <t>F</t>
  </si>
  <si>
    <t>ΔP</t>
  </si>
  <si>
    <t>velo_tube</t>
  </si>
  <si>
    <t>3/4</t>
  </si>
  <si>
    <t>Kern's Method</t>
  </si>
  <si>
    <t>Pt</t>
  </si>
  <si>
    <t>L_B</t>
  </si>
  <si>
    <t>A_S_kern</t>
  </si>
  <si>
    <t>debi_shell</t>
  </si>
  <si>
    <t>G_s_kern</t>
  </si>
  <si>
    <t>kg/(m^2.s)</t>
  </si>
  <si>
    <t>density_shell_in</t>
  </si>
  <si>
    <t>density_shell_out</t>
  </si>
  <si>
    <t>density_shell_avg</t>
  </si>
  <si>
    <t>d_e_kern</t>
  </si>
  <si>
    <t>mu_shell_in</t>
  </si>
  <si>
    <t>mu_shell_out</t>
  </si>
  <si>
    <t>mu_shell_avg</t>
  </si>
  <si>
    <t xml:space="preserve">Baffle Cut </t>
  </si>
  <si>
    <t>%</t>
  </si>
  <si>
    <t>J_h</t>
  </si>
  <si>
    <t>J_f</t>
  </si>
  <si>
    <t>Re_in_kern</t>
  </si>
  <si>
    <t>velo_in_kern</t>
  </si>
  <si>
    <t>velo_out_kern</t>
  </si>
  <si>
    <t>Re_out_kern</t>
  </si>
  <si>
    <t>mu_wall_shell</t>
  </si>
  <si>
    <t>Cp*mu/k</t>
  </si>
  <si>
    <t>cp_shell_in</t>
  </si>
  <si>
    <t>cp_shell_out</t>
  </si>
  <si>
    <t>k_shell_in</t>
  </si>
  <si>
    <t>k_shell_out</t>
  </si>
  <si>
    <t>k_shell_avg</t>
  </si>
  <si>
    <t>h_in</t>
  </si>
  <si>
    <t>W/(m^2K)</t>
  </si>
  <si>
    <t>h_out</t>
  </si>
  <si>
    <t>ID_Shell</t>
  </si>
  <si>
    <t>h</t>
  </si>
  <si>
    <t>Pa</t>
  </si>
  <si>
    <t>Bell's Method</t>
  </si>
  <si>
    <t>CS - Plain</t>
  </si>
  <si>
    <t>Ѳ_ds</t>
  </si>
  <si>
    <t>D_ctl</t>
  </si>
  <si>
    <t>D_otl</t>
  </si>
  <si>
    <t>D_t</t>
  </si>
  <si>
    <t>L_bb</t>
  </si>
  <si>
    <t>Ѳ_ctl</t>
  </si>
  <si>
    <t>Ѳ_otl</t>
  </si>
  <si>
    <t>A_wg</t>
  </si>
  <si>
    <t>F_w</t>
  </si>
  <si>
    <t>A_wt</t>
  </si>
  <si>
    <t>N_tw</t>
  </si>
  <si>
    <t>A_w</t>
  </si>
  <si>
    <t>C_1</t>
  </si>
  <si>
    <t>L_tp</t>
  </si>
  <si>
    <t>N_tt</t>
  </si>
  <si>
    <t>Ψ_n</t>
  </si>
  <si>
    <t>D_w</t>
  </si>
  <si>
    <t>N_tcc</t>
  </si>
  <si>
    <t>L_wp</t>
  </si>
  <si>
    <t>N_tcw</t>
  </si>
  <si>
    <t>L_pp</t>
  </si>
  <si>
    <t>L_bc</t>
  </si>
  <si>
    <t>L_bi</t>
  </si>
  <si>
    <t>L_bo</t>
  </si>
  <si>
    <t>L_pl</t>
  </si>
  <si>
    <t>L_sb</t>
  </si>
  <si>
    <t>L_tb</t>
  </si>
  <si>
    <t>A_ba</t>
  </si>
  <si>
    <t>A_sb</t>
  </si>
  <si>
    <t>A_mb</t>
  </si>
  <si>
    <t>A per tube bundle</t>
  </si>
  <si>
    <t>E</t>
  </si>
  <si>
    <t>material</t>
  </si>
  <si>
    <t>Front head</t>
  </si>
  <si>
    <t>Rear End Head</t>
  </si>
  <si>
    <t>L</t>
  </si>
  <si>
    <t>Tubes</t>
  </si>
  <si>
    <t>Baffles</t>
  </si>
  <si>
    <t>Tube Sheet</t>
  </si>
  <si>
    <t>Heads</t>
  </si>
  <si>
    <t>Nozzles</t>
  </si>
  <si>
    <t>Pass Partition</t>
  </si>
  <si>
    <t xml:space="preserve">Liquid </t>
  </si>
  <si>
    <t>Total(incl. liquid)</t>
  </si>
  <si>
    <t>Total(excl. liquid)</t>
  </si>
  <si>
    <t>kg</t>
  </si>
  <si>
    <t>U_kern</t>
  </si>
  <si>
    <t>Min_Baf_L</t>
  </si>
  <si>
    <t>Max_Baf_L</t>
  </si>
  <si>
    <t>B_C</t>
  </si>
  <si>
    <t>D_S</t>
  </si>
  <si>
    <t>N_b</t>
  </si>
  <si>
    <t>ρ-in</t>
  </si>
  <si>
    <t>A_noz_in_min</t>
  </si>
  <si>
    <t>OD_nozz_s</t>
  </si>
  <si>
    <t>Thick_nozz_s</t>
  </si>
  <si>
    <t>ID_nozz_s</t>
  </si>
  <si>
    <t>V_nozz_in_s</t>
  </si>
  <si>
    <t>ρ-out</t>
  </si>
  <si>
    <t>A_noz_o</t>
  </si>
  <si>
    <t>Dmin</t>
  </si>
  <si>
    <t>ID_nozz_s_out</t>
  </si>
  <si>
    <t>Nozzle - Shell</t>
  </si>
  <si>
    <t>D_min</t>
  </si>
  <si>
    <t>V_max</t>
  </si>
  <si>
    <t>L_ti</t>
  </si>
  <si>
    <t>L_tp_eff</t>
  </si>
  <si>
    <t>G_s</t>
  </si>
  <si>
    <t>A_*_mb</t>
  </si>
  <si>
    <t>kg/m^2.s</t>
  </si>
  <si>
    <t>Re_s</t>
  </si>
  <si>
    <t>vel_s</t>
  </si>
  <si>
    <t>k1</t>
  </si>
  <si>
    <t>n1</t>
  </si>
  <si>
    <t>No. of passes</t>
  </si>
  <si>
    <t>Tube-Boundle Coeffs.</t>
  </si>
  <si>
    <t xml:space="preserve">Boundle dia. </t>
  </si>
  <si>
    <t>a1</t>
  </si>
  <si>
    <t>a2</t>
  </si>
  <si>
    <t>a3</t>
  </si>
  <si>
    <t>a4</t>
  </si>
  <si>
    <t>b2</t>
  </si>
  <si>
    <t>b1</t>
  </si>
  <si>
    <t>b3</t>
  </si>
  <si>
    <t>b4</t>
  </si>
  <si>
    <t>a</t>
  </si>
  <si>
    <t>j_i</t>
  </si>
  <si>
    <t>f_i</t>
  </si>
  <si>
    <t>Pr_s</t>
  </si>
  <si>
    <t>Cp_s</t>
  </si>
  <si>
    <t>J/kgK</t>
  </si>
  <si>
    <t>phi_r</t>
  </si>
  <si>
    <t>h_si</t>
  </si>
  <si>
    <t>T_wall_bell</t>
  </si>
  <si>
    <t>F_c</t>
  </si>
  <si>
    <t>J_c</t>
  </si>
  <si>
    <t>r_lm</t>
  </si>
  <si>
    <t>A_tb</t>
  </si>
  <si>
    <t>r_s</t>
  </si>
  <si>
    <t>J_l</t>
  </si>
  <si>
    <t>R_l</t>
  </si>
  <si>
    <t>P_bell</t>
  </si>
  <si>
    <t>r_ss</t>
  </si>
  <si>
    <t>N_ss</t>
  </si>
  <si>
    <t>C_bh</t>
  </si>
  <si>
    <t>J_b</t>
  </si>
  <si>
    <t>C_bp</t>
  </si>
  <si>
    <t>F_sbp</t>
  </si>
  <si>
    <t>R_b</t>
  </si>
  <si>
    <t>N_c</t>
  </si>
  <si>
    <t>J_r</t>
  </si>
  <si>
    <t>L_plus</t>
  </si>
  <si>
    <t>L_plus_o</t>
  </si>
  <si>
    <t>L_plus_i</t>
  </si>
  <si>
    <t>J_s</t>
  </si>
  <si>
    <t>h_s</t>
  </si>
  <si>
    <t>U_bell</t>
  </si>
  <si>
    <t>f_d_cost</t>
  </si>
  <si>
    <t>f_c_cost</t>
  </si>
  <si>
    <t>f_p_cost</t>
  </si>
  <si>
    <t>f_m_cost</t>
  </si>
  <si>
    <t>ΔP_bi</t>
  </si>
  <si>
    <t>phi_r_minus</t>
  </si>
  <si>
    <t>ΔP_c</t>
  </si>
  <si>
    <t>ΔP_w</t>
  </si>
  <si>
    <t>ΔP_e</t>
  </si>
  <si>
    <t>R_s_ΔP</t>
  </si>
  <si>
    <t>G_w</t>
  </si>
  <si>
    <t>ΔP_s</t>
  </si>
  <si>
    <t>Pressure Drop</t>
  </si>
  <si>
    <t>h of tube</t>
  </si>
  <si>
    <t>Estimated Cost</t>
  </si>
  <si>
    <t>Cost index</t>
  </si>
  <si>
    <t>[2]</t>
  </si>
  <si>
    <t>[3]</t>
  </si>
  <si>
    <t>[4]</t>
  </si>
  <si>
    <t>[5]</t>
  </si>
  <si>
    <t>[7]</t>
  </si>
  <si>
    <t>[8]</t>
  </si>
  <si>
    <t>[9]</t>
  </si>
  <si>
    <t>[12]</t>
  </si>
  <si>
    <t>[13]</t>
  </si>
  <si>
    <t>[16]</t>
  </si>
  <si>
    <t>[11]</t>
  </si>
  <si>
    <t>[10]</t>
  </si>
  <si>
    <t>[17]</t>
  </si>
  <si>
    <t>[6]</t>
  </si>
  <si>
    <t>[18]</t>
  </si>
  <si>
    <t>TEMA Standard; Newyork: TEMA; 9th Ed. 2007</t>
  </si>
  <si>
    <t>[19]</t>
  </si>
  <si>
    <t>[20]</t>
  </si>
  <si>
    <r>
      <t xml:space="preserve">           </t>
    </r>
    <r>
      <rPr>
        <i/>
        <sz val="11"/>
        <rFont val="Cambria"/>
        <family val="1"/>
        <scheme val="major"/>
      </rPr>
      <t xml:space="preserve">     Perry's Chemical Engineers' Handbook.</t>
    </r>
    <r>
      <rPr>
        <sz val="11"/>
        <rFont val="Cambria"/>
        <family val="1"/>
        <scheme val="major"/>
      </rPr>
      <t xml:space="preserve"> Newyork: McGraw-hill; 1999</t>
    </r>
  </si>
  <si>
    <r>
      <t xml:space="preserve">            Schlunder, Ernst U.; </t>
    </r>
    <r>
      <rPr>
        <i/>
        <sz val="11"/>
        <rFont val="Cambria"/>
        <family val="1"/>
        <scheme val="major"/>
      </rPr>
      <t xml:space="preserve">Heat Exchanger Design Handbook; </t>
    </r>
    <r>
      <rPr>
        <sz val="11"/>
        <rFont val="Cambria"/>
        <family val="1"/>
        <scheme val="major"/>
      </rPr>
      <t>Dusseldorf: Hemisphere; 1983</t>
    </r>
  </si>
  <si>
    <r>
      <t xml:space="preserve">            Sinnott, R K; </t>
    </r>
    <r>
      <rPr>
        <i/>
        <sz val="11"/>
        <rFont val="Cambria"/>
        <family val="1"/>
        <scheme val="major"/>
      </rPr>
      <t>Chemical Engineering Design</t>
    </r>
    <r>
      <rPr>
        <sz val="11"/>
        <rFont val="Cambria"/>
        <family val="1"/>
        <scheme val="major"/>
      </rPr>
      <t>, Coulson &amp; Richardson's Chemical Engineering Series; Oxford: Elsevier; 4th Ed. 2005</t>
    </r>
  </si>
  <si>
    <r>
      <t xml:space="preserve">   Peters M. &amp; Timmerhaus K.; </t>
    </r>
    <r>
      <rPr>
        <i/>
        <sz val="11"/>
        <rFont val="Cambria"/>
        <family val="1"/>
        <scheme val="major"/>
      </rPr>
      <t>Plant Design and Economics for Chemical Engineers</t>
    </r>
    <r>
      <rPr>
        <sz val="11"/>
        <rFont val="Cambria"/>
        <family val="1"/>
        <scheme val="major"/>
      </rPr>
      <t>, Newyork: McGraw-hill; 5th Ed. 2002</t>
    </r>
  </si>
  <si>
    <r>
      <t xml:space="preserve">Incropera, </t>
    </r>
    <r>
      <rPr>
        <i/>
        <sz val="11"/>
        <rFont val="Cambria"/>
        <family val="1"/>
        <scheme val="major"/>
      </rPr>
      <t>Fundamentals of Heat and Mass Transfer</t>
    </r>
    <r>
      <rPr>
        <sz val="11"/>
        <rFont val="Cambria"/>
        <family val="1"/>
        <scheme val="major"/>
      </rPr>
      <t>, Newyork: Wiley; 6th Ed. 2007</t>
    </r>
  </si>
  <si>
    <r>
      <t xml:space="preserve">Shah R.; </t>
    </r>
    <r>
      <rPr>
        <i/>
        <sz val="11"/>
        <rFont val="Cambria"/>
        <family val="1"/>
        <scheme val="major"/>
      </rPr>
      <t>Fundumental of Heat Exchanger Design</t>
    </r>
    <r>
      <rPr>
        <sz val="11"/>
        <rFont val="Cambria"/>
        <family val="1"/>
        <scheme val="major"/>
      </rPr>
      <t>; Newyork: Wiley; 2003</t>
    </r>
  </si>
  <si>
    <r>
      <t xml:space="preserve"> Smith, McCabe; </t>
    </r>
    <r>
      <rPr>
        <i/>
        <sz val="11"/>
        <rFont val="Cambria"/>
        <family val="1"/>
        <scheme val="major"/>
      </rPr>
      <t>Unit Operations of Chemical Engineering</t>
    </r>
    <r>
      <rPr>
        <sz val="11"/>
        <rFont val="Cambria"/>
        <family val="1"/>
        <scheme val="major"/>
      </rPr>
      <t>, Newyork: McGraw-hill; 7th Ed. 2007</t>
    </r>
  </si>
  <si>
    <r>
      <t xml:space="preserve">Trambouze, P. ; </t>
    </r>
    <r>
      <rPr>
        <i/>
        <sz val="11"/>
        <color theme="1"/>
        <rFont val="Cambria"/>
        <family val="1"/>
        <scheme val="major"/>
      </rPr>
      <t>La rafinage du pétrole, Tome4. Matériels et équipments</t>
    </r>
    <r>
      <rPr>
        <sz val="11"/>
        <color theme="1"/>
        <rFont val="Cambria"/>
        <family val="1"/>
        <scheme val="major"/>
      </rPr>
      <t>. Paris: Edition Technip; 1999</t>
    </r>
  </si>
  <si>
    <r>
      <t xml:space="preserve"> Mukharjee, R.; "Effectively Design Shell-and-Tube Heat Exchangers"; </t>
    </r>
    <r>
      <rPr>
        <b/>
        <i/>
        <sz val="11"/>
        <rFont val="Cambria"/>
        <family val="1"/>
        <scheme val="major"/>
      </rPr>
      <t>Chemical Engineernig Progress</t>
    </r>
    <r>
      <rPr>
        <i/>
        <sz val="11"/>
        <rFont val="Cambria"/>
        <family val="1"/>
        <scheme val="major"/>
      </rPr>
      <t xml:space="preserve">; </t>
    </r>
    <r>
      <rPr>
        <sz val="11"/>
        <rFont val="Cambria"/>
        <family val="1"/>
        <scheme val="major"/>
      </rPr>
      <t>Feburary 1998</t>
    </r>
  </si>
  <si>
    <r>
      <rPr>
        <i/>
        <sz val="11"/>
        <rFont val="Cambria"/>
        <family val="1"/>
        <scheme val="major"/>
      </rPr>
      <t>Rules for Construction of Pressure Vesseles</t>
    </r>
    <r>
      <rPr>
        <sz val="11"/>
        <rFont val="Cambria"/>
        <family val="1"/>
        <scheme val="major"/>
      </rPr>
      <t>; ASME Sec. VIII Div. 1; American Society of Chemical Engineers; 1998</t>
    </r>
  </si>
  <si>
    <t>PERFRMANCE OF ONE UNIT</t>
  </si>
  <si>
    <t>Req.</t>
  </si>
  <si>
    <t>Weight Estimation</t>
  </si>
  <si>
    <t>Shell &amp; Tube Heat Exchanger Design Project</t>
  </si>
  <si>
    <t>by</t>
  </si>
  <si>
    <t>&amp;</t>
  </si>
  <si>
    <t>Spring 2010</t>
  </si>
  <si>
    <t>Sharif University of Technology</t>
  </si>
  <si>
    <t>Department of Petroleum &amp; Chemical Engineering</t>
  </si>
  <si>
    <t>J_DSBaffle</t>
  </si>
  <si>
    <t>J_ΔP_DSBaffle</t>
  </si>
  <si>
    <t>Installation</t>
  </si>
  <si>
    <t>Horizontal</t>
  </si>
  <si>
    <t>No.</t>
  </si>
  <si>
    <t>-</t>
  </si>
  <si>
    <t>Diameter</t>
  </si>
  <si>
    <t>Baffle Cut</t>
  </si>
  <si>
    <t>Baffle Spacing</t>
  </si>
  <si>
    <t>Hole Diameter</t>
  </si>
  <si>
    <t>Double Segmental</t>
  </si>
  <si>
    <t>N.O</t>
  </si>
  <si>
    <t>Width</t>
  </si>
  <si>
    <t>Sealing Strip</t>
  </si>
  <si>
    <t>L_F_head</t>
  </si>
  <si>
    <t>Thick_F_head</t>
  </si>
  <si>
    <t>D_F_head</t>
  </si>
  <si>
    <t>Front Head</t>
  </si>
  <si>
    <t>Rear Head</t>
  </si>
  <si>
    <t>L_R_head</t>
  </si>
  <si>
    <t>Thick_R_head</t>
  </si>
  <si>
    <t>D_R_head</t>
  </si>
  <si>
    <t>h_DS</t>
  </si>
  <si>
    <t>Plant Location :  Kermanshah Petrochemical Complex</t>
  </si>
  <si>
    <t>AEL</t>
  </si>
  <si>
    <t>Yes</t>
  </si>
  <si>
    <t>No</t>
  </si>
  <si>
    <t>C9 Aromatics</t>
  </si>
  <si>
    <t>N/A</t>
  </si>
  <si>
    <t>Specific Heat (J/kg.C)</t>
  </si>
  <si>
    <t>Latent Heat (kJ/kg)</t>
  </si>
  <si>
    <t>Thermal Conductivity (W/m.C)</t>
  </si>
  <si>
    <t>50000/</t>
  </si>
  <si>
    <t>30000/</t>
  </si>
  <si>
    <t>Design Temperature ( C )</t>
  </si>
  <si>
    <t>Smooth</t>
  </si>
  <si>
    <t>Pattern:</t>
  </si>
  <si>
    <t>Type :  Double Segmental</t>
  </si>
  <si>
    <t>Thin wall</t>
  </si>
  <si>
    <t>R</t>
  </si>
  <si>
    <t>M A Adibi</t>
  </si>
  <si>
    <t>M Safiallah</t>
  </si>
  <si>
    <t>No. of Type A Baffles</t>
  </si>
  <si>
    <t>No. of Type B Baffles</t>
  </si>
  <si>
    <t>Sealing Strips</t>
  </si>
  <si>
    <t>Tie Rods &amp; Spacers</t>
  </si>
  <si>
    <t xml:space="preserve">      OUT</t>
  </si>
  <si>
    <t>IN</t>
  </si>
  <si>
    <t>Nozzle - Tube</t>
  </si>
  <si>
    <t>OD_nozz_t</t>
  </si>
  <si>
    <t>Thick_nozz_t</t>
  </si>
  <si>
    <t>ID_nozz_t</t>
  </si>
  <si>
    <t>V_nozz_in_t</t>
  </si>
  <si>
    <t>[1]</t>
  </si>
  <si>
    <t>No_TSh</t>
  </si>
  <si>
    <t>OD_tube sheet</t>
  </si>
  <si>
    <t>Tube Sheets</t>
  </si>
  <si>
    <t>Pass Partitions</t>
  </si>
  <si>
    <t>A_flange</t>
  </si>
  <si>
    <t>Flanges - Shell</t>
  </si>
  <si>
    <t>OUT</t>
  </si>
  <si>
    <t>Welding Neck</t>
  </si>
  <si>
    <t>E_flange</t>
  </si>
  <si>
    <t>G_flange</t>
  </si>
  <si>
    <t>H_flange</t>
  </si>
  <si>
    <t>C_flange</t>
  </si>
  <si>
    <t>J_flange</t>
  </si>
  <si>
    <r>
      <t xml:space="preserve">Megyesy E. F.; </t>
    </r>
    <r>
      <rPr>
        <i/>
        <sz val="11"/>
        <color theme="1"/>
        <rFont val="Cambria"/>
        <family val="1"/>
        <scheme val="major"/>
      </rPr>
      <t xml:space="preserve">Pressure Vessle Handbook; </t>
    </r>
    <r>
      <rPr>
        <sz val="11"/>
        <color theme="1"/>
        <rFont val="Cambria"/>
        <family val="1"/>
        <scheme val="major"/>
      </rPr>
      <t>Tulsa: Pressure Vessel Publishing; 10th Ed.</t>
    </r>
  </si>
  <si>
    <r>
      <t xml:space="preserve">فرهادی، فتح‌اله؛ </t>
    </r>
    <r>
      <rPr>
        <i/>
        <sz val="14"/>
        <rFont val="B Mitra"/>
        <charset val="178"/>
      </rPr>
      <t>طراحی مبدل‌های پوسته و لوله‌ای به روش Bell</t>
    </r>
    <r>
      <rPr>
        <sz val="14"/>
        <rFont val="B Mitra"/>
        <charset val="178"/>
      </rPr>
      <t>، دانشکده‌ی مهندسی شیمی و نفت؛ دانشگاه صنعتی شریف</t>
    </r>
  </si>
  <si>
    <r>
      <t xml:space="preserve">فرهادی، فتح‌اله؛ </t>
    </r>
    <r>
      <rPr>
        <i/>
        <sz val="14"/>
        <rFont val="B Mitra"/>
        <charset val="178"/>
      </rPr>
      <t>طراحی دستگاه‌های تبادل حرارتی و جرمی</t>
    </r>
    <r>
      <rPr>
        <sz val="14"/>
        <rFont val="B Mitra"/>
        <charset val="178"/>
      </rPr>
      <t xml:space="preserve">؛ دانشکده‌ی مهندسی شیمی و نفت؛ دانشگاه صنعتی شریف    </t>
    </r>
  </si>
  <si>
    <t>نوری، امین و ناظم‌زادگان، محمدرضا؛  پروژه‌ی درس طراحی دستگاه‌های تبادل حرارتی و جرمی</t>
  </si>
  <si>
    <t>عابدینی، حامد و غفاری، محسن؛ پروژه‌ی درس طراحی دستگاه‌های تبادل حرارتی و جرمی</t>
  </si>
  <si>
    <t>pressure factor</t>
  </si>
  <si>
    <t>Type factor</t>
  </si>
  <si>
    <t>bare cost from figure</t>
  </si>
  <si>
    <t>Index2010/Index2004</t>
  </si>
  <si>
    <t>Aknowledgment</t>
  </si>
  <si>
    <t>Amin Nouri Khorasani / Sharif University of Technology</t>
  </si>
  <si>
    <t xml:space="preserve">Sayyed Soroush Nasseri / University of British Columbia </t>
  </si>
  <si>
    <t>K_ns</t>
  </si>
  <si>
    <t>ΔP_ns</t>
  </si>
  <si>
    <t>V_nozz_out_s</t>
  </si>
  <si>
    <t>v_ nozz_avg_s</t>
  </si>
  <si>
    <t>Vol_shell</t>
  </si>
  <si>
    <t>m^3</t>
  </si>
  <si>
    <t>Vol_tube_i</t>
  </si>
  <si>
    <t>Vol_tube_o</t>
  </si>
  <si>
    <t>Vol_baffle</t>
  </si>
  <si>
    <t>Tube-Tubesheet Joint : Expanded-Seal Weld</t>
  </si>
  <si>
    <t>Sprial Wound</t>
  </si>
  <si>
    <t>Gasket Tube Side  :  Sprial Wound (Inner ring SS, Outer ring CS)</t>
  </si>
  <si>
    <t xml:space="preserve">Expansion Joint : </t>
  </si>
  <si>
    <t>Moahmmad Safiallah / Petro-San'at-e Novin-Etemad Co</t>
  </si>
  <si>
    <t>hover your mouse on each icon to display its name</t>
  </si>
  <si>
    <t>J_i &amp; F_i Coefficients</t>
  </si>
  <si>
    <t>Double-Segmental Baffle Corrections</t>
  </si>
  <si>
    <t>U - Based on Bell's Method</t>
  </si>
  <si>
    <t>Friction Factor</t>
  </si>
  <si>
    <t>Properties</t>
  </si>
  <si>
    <t>Regime Calculations</t>
  </si>
  <si>
    <t>Gasket - Tube</t>
  </si>
  <si>
    <t>Spiral Wound</t>
  </si>
  <si>
    <t>Inner Ring</t>
  </si>
  <si>
    <t>Outer Ring</t>
  </si>
  <si>
    <t>SS</t>
  </si>
  <si>
    <t>Gasket - Shell</t>
  </si>
  <si>
    <t>Bell's Parameters</t>
  </si>
  <si>
    <t>h at the beginning of the shell</t>
  </si>
  <si>
    <t>h at the end of the shell</t>
  </si>
  <si>
    <t>Kern's Parameters</t>
  </si>
  <si>
    <t>h &amp; U based on Kern's Method</t>
  </si>
  <si>
    <t>Shell Properties</t>
  </si>
  <si>
    <t>General</t>
  </si>
  <si>
    <t>Duty</t>
  </si>
  <si>
    <t>kJ/KgK</t>
  </si>
  <si>
    <t>U Guess</t>
  </si>
  <si>
    <t xml:space="preserve">U </t>
  </si>
  <si>
    <t>No. of Tubes</t>
  </si>
  <si>
    <t>Tube Passes</t>
  </si>
  <si>
    <t>Velocity</t>
  </si>
  <si>
    <t>Shell Passes</t>
  </si>
  <si>
    <t>Hossein Madihi / Petro Arya Engineering Co</t>
  </si>
  <si>
    <t>YES, SS</t>
  </si>
  <si>
    <t>Code Requirements : ASME CODE Sec. VIII Div. 1</t>
  </si>
  <si>
    <t>SA 516 70</t>
  </si>
  <si>
    <t>SA 105 K030504</t>
  </si>
  <si>
    <t>No. Series Shells</t>
  </si>
  <si>
    <t>Address :  Department of Petroleum &amp; Chemical Engineering, Sharif University of Tech., Tehran, IRAN</t>
  </si>
  <si>
    <t>Cover Welded to a Cylander</t>
  </si>
  <si>
    <t>Cover - Front</t>
  </si>
  <si>
    <t>Cover - Rear</t>
  </si>
  <si>
    <t>SA516 70</t>
  </si>
  <si>
    <t>Duty Required</t>
  </si>
  <si>
    <t>Duty Actual</t>
  </si>
  <si>
    <t>Surface Required</t>
  </si>
  <si>
    <t>Surface Actual</t>
  </si>
  <si>
    <t>Required/Actual Values</t>
  </si>
  <si>
    <t>U Clean</t>
  </si>
  <si>
    <t>U Dirty</t>
  </si>
  <si>
    <t>R_d</t>
  </si>
  <si>
    <t>W/(m^2.°C)</t>
  </si>
  <si>
    <t>W/m^.°C</t>
  </si>
  <si>
    <t>mdot_req</t>
  </si>
  <si>
    <t>A Total</t>
  </si>
  <si>
    <r>
      <t xml:space="preserve">Mukharjee, R.; "Use Double-Segmental Baffles in Shell&amp;Tube Heat Exchagers", </t>
    </r>
    <r>
      <rPr>
        <b/>
        <sz val="11"/>
        <color theme="1"/>
        <rFont val="Cambria"/>
        <family val="1"/>
        <scheme val="major"/>
      </rPr>
      <t>Chemical Engineering Progress</t>
    </r>
    <r>
      <rPr>
        <sz val="11"/>
        <color theme="1"/>
        <rFont val="Cambria"/>
        <family val="1"/>
        <scheme val="major"/>
      </rPr>
      <t>; November 1992</t>
    </r>
  </si>
  <si>
    <t>Cost: Coulson Richardson's Method</t>
  </si>
  <si>
    <t>Cost: Peters's Method</t>
  </si>
  <si>
    <t>Cost Based on Weight</t>
  </si>
  <si>
    <t>Weight</t>
  </si>
  <si>
    <t>cost per kg</t>
  </si>
  <si>
    <r>
      <t>"Economic Indicators";</t>
    </r>
    <r>
      <rPr>
        <b/>
        <sz val="11"/>
        <rFont val="Calibri"/>
        <family val="2"/>
      </rPr>
      <t xml:space="preserve"> Chemical Engineering</t>
    </r>
    <r>
      <rPr>
        <sz val="11"/>
        <rFont val="Calibri"/>
        <family val="2"/>
      </rPr>
      <t>; Vol. 117 No.6, May 2010</t>
    </r>
  </si>
  <si>
    <t>Cost: Old Regression Method</t>
  </si>
  <si>
    <t>Index2010/Index2002</t>
  </si>
  <si>
    <t>Instructor:</t>
  </si>
  <si>
    <t>Impingment Protection</t>
  </si>
  <si>
    <t>Area</t>
  </si>
  <si>
    <t>Drain Diameter</t>
  </si>
  <si>
    <t>Vent Diameter</t>
  </si>
  <si>
    <t>Dr. Fatola Farhadi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</si>
</sst>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i/>
      <sz val="11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1" tint="4.9989318521683403E-2"/>
      <name val="Cambria"/>
      <family val="1"/>
      <scheme val="major"/>
    </font>
    <font>
      <b/>
      <sz val="28"/>
      <color theme="1" tint="4.9989318521683403E-2"/>
      <name val="Cambria"/>
      <family val="1"/>
      <scheme val="maj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name val="Cambria"/>
      <family val="1"/>
      <scheme val="major"/>
    </font>
    <font>
      <i/>
      <sz val="11"/>
      <color theme="1"/>
      <name val="Cambria"/>
      <family val="1"/>
      <scheme val="major"/>
    </font>
    <font>
      <sz val="11"/>
      <name val="Calibri"/>
      <family val="2"/>
    </font>
    <font>
      <b/>
      <sz val="18"/>
      <color theme="1"/>
      <name val="Cambria"/>
      <family val="1"/>
      <scheme val="major"/>
    </font>
    <font>
      <sz val="36"/>
      <color theme="1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name val="B Mitra"/>
      <charset val="178"/>
    </font>
    <font>
      <i/>
      <sz val="14"/>
      <name val="B Mitra"/>
      <charset val="178"/>
    </font>
    <font>
      <sz val="14"/>
      <color theme="1"/>
      <name val="B Mitra"/>
      <charset val="178"/>
    </font>
    <font>
      <b/>
      <sz val="14"/>
      <color theme="1"/>
      <name val="Cambria"/>
      <family val="1"/>
      <scheme val="major"/>
    </font>
    <font>
      <sz val="12"/>
      <name val="Calibri"/>
      <family val="2"/>
      <scheme val="minor"/>
    </font>
    <font>
      <sz val="12"/>
      <name val="Cambria"/>
      <family val="1"/>
      <scheme val="major"/>
    </font>
    <font>
      <sz val="28"/>
      <color theme="1"/>
      <name val="Cambria"/>
      <family val="1"/>
      <scheme val="maj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rgb="FFC00000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ck">
        <color theme="1"/>
      </right>
      <top style="thin">
        <color theme="1"/>
      </top>
      <bottom/>
      <diagonal/>
    </border>
    <border>
      <left style="thick">
        <color theme="1"/>
      </left>
      <right/>
      <top/>
      <bottom/>
      <diagonal/>
    </border>
    <border>
      <left/>
      <right style="thick">
        <color theme="1"/>
      </right>
      <top/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auto="1"/>
      </left>
      <right/>
      <top style="thick">
        <color auto="1"/>
      </top>
      <bottom style="thin">
        <color theme="1"/>
      </bottom>
      <diagonal/>
    </border>
    <border>
      <left/>
      <right/>
      <top style="thick">
        <color auto="1"/>
      </top>
      <bottom style="thin">
        <color theme="1"/>
      </bottom>
      <diagonal/>
    </border>
    <border>
      <left/>
      <right style="thick">
        <color auto="1"/>
      </right>
      <top style="thick">
        <color auto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7">
    <xf numFmtId="0" fontId="0" fillId="0" borderId="0"/>
    <xf numFmtId="0" fontId="1" fillId="2" borderId="2"/>
    <xf numFmtId="0" fontId="13" fillId="0" borderId="0" applyNumberFormat="0" applyFill="0" applyBorder="0" applyAlignment="0" applyProtection="0">
      <alignment vertical="top"/>
      <protection locked="0"/>
    </xf>
    <xf numFmtId="0" fontId="1" fillId="5" borderId="3">
      <alignment horizontal="center"/>
    </xf>
    <xf numFmtId="0" fontId="12" fillId="3" borderId="1" applyFont="0" applyBorder="0">
      <alignment horizontal="center"/>
    </xf>
    <xf numFmtId="0" fontId="1" fillId="5" borderId="0" applyAlignment="0">
      <alignment horizontal="center"/>
    </xf>
    <xf numFmtId="0" fontId="10" fillId="3" borderId="3">
      <alignment horizontal="center"/>
    </xf>
  </cellStyleXfs>
  <cellXfs count="225">
    <xf numFmtId="0" fontId="0" fillId="0" borderId="0" xfId="0"/>
    <xf numFmtId="0" fontId="0" fillId="5" borderId="0" xfId="0" applyFill="1"/>
    <xf numFmtId="0" fontId="1" fillId="5" borderId="3" xfId="3">
      <alignment horizontal="center"/>
    </xf>
    <xf numFmtId="0" fontId="1" fillId="5" borderId="0" xfId="3" applyFill="1" applyBorder="1">
      <alignment horizontal="center"/>
    </xf>
    <xf numFmtId="0" fontId="1" fillId="5" borderId="0" xfId="5" applyAlignment="1"/>
    <xf numFmtId="0" fontId="1" fillId="5" borderId="0" xfId="5">
      <alignment horizontal="center"/>
    </xf>
    <xf numFmtId="0" fontId="0" fillId="5" borderId="3" xfId="3" applyFont="1" applyAlignment="1">
      <alignment horizontal="left"/>
    </xf>
    <xf numFmtId="0" fontId="1" fillId="5" borderId="0" xfId="5" applyAlignment="1">
      <alignment horizontal="center"/>
    </xf>
    <xf numFmtId="0" fontId="1" fillId="4" borderId="3" xfId="3" applyFill="1">
      <alignment horizontal="center"/>
    </xf>
    <xf numFmtId="0" fontId="0" fillId="5" borderId="3" xfId="3" applyFont="1">
      <alignment horizontal="center"/>
    </xf>
    <xf numFmtId="0" fontId="0" fillId="4" borderId="3" xfId="3" applyFont="1" applyFill="1">
      <alignment horizontal="center"/>
    </xf>
    <xf numFmtId="0" fontId="0" fillId="5" borderId="0" xfId="3" applyFont="1" applyFill="1" applyBorder="1">
      <alignment horizontal="center"/>
    </xf>
    <xf numFmtId="0" fontId="1" fillId="5" borderId="0" xfId="5" applyFill="1" applyBorder="1" applyAlignment="1"/>
    <xf numFmtId="0" fontId="1" fillId="5" borderId="18" xfId="3" applyFill="1" applyBorder="1">
      <alignment horizontal="center"/>
    </xf>
    <xf numFmtId="0" fontId="1" fillId="5" borderId="19" xfId="3" applyFill="1" applyBorder="1">
      <alignment horizontal="center"/>
    </xf>
    <xf numFmtId="0" fontId="1" fillId="5" borderId="20" xfId="3" applyFill="1" applyBorder="1">
      <alignment horizontal="center"/>
    </xf>
    <xf numFmtId="0" fontId="1" fillId="5" borderId="22" xfId="3" applyFill="1" applyBorder="1">
      <alignment horizontal="center"/>
    </xf>
    <xf numFmtId="0" fontId="1" fillId="5" borderId="21" xfId="3" applyFill="1" applyBorder="1">
      <alignment horizontal="center"/>
    </xf>
    <xf numFmtId="0" fontId="1" fillId="5" borderId="23" xfId="3" applyFill="1" applyBorder="1">
      <alignment horizontal="center"/>
    </xf>
    <xf numFmtId="0" fontId="1" fillId="5" borderId="24" xfId="3" applyFill="1" applyBorder="1">
      <alignment horizontal="center"/>
    </xf>
    <xf numFmtId="0" fontId="0" fillId="5" borderId="25" xfId="3" applyFont="1" applyFill="1" applyBorder="1">
      <alignment horizontal="center"/>
    </xf>
    <xf numFmtId="0" fontId="1" fillId="5" borderId="3" xfId="3">
      <alignment horizontal="center"/>
    </xf>
    <xf numFmtId="0" fontId="1" fillId="5" borderId="3" xfId="3">
      <alignment horizontal="center"/>
    </xf>
    <xf numFmtId="0" fontId="0" fillId="5" borderId="3" xfId="3" applyFont="1">
      <alignment horizontal="center"/>
    </xf>
    <xf numFmtId="0" fontId="10" fillId="3" borderId="3" xfId="6" applyBorder="1">
      <alignment horizontal="center"/>
    </xf>
    <xf numFmtId="0" fontId="0" fillId="5" borderId="0" xfId="5" applyFont="1">
      <alignment horizontal="center"/>
    </xf>
    <xf numFmtId="0" fontId="1" fillId="5" borderId="10" xfId="5" applyBorder="1">
      <alignment horizontal="center"/>
    </xf>
    <xf numFmtId="0" fontId="0" fillId="5" borderId="10" xfId="5" applyFont="1" applyBorder="1">
      <alignment horizontal="center"/>
    </xf>
    <xf numFmtId="0" fontId="1" fillId="5" borderId="12" xfId="3" applyBorder="1">
      <alignment horizontal="center"/>
    </xf>
    <xf numFmtId="0" fontId="1" fillId="5" borderId="13" xfId="3" applyBorder="1">
      <alignment horizontal="center"/>
    </xf>
    <xf numFmtId="0" fontId="1" fillId="5" borderId="14" xfId="3" applyBorder="1">
      <alignment horizontal="center"/>
    </xf>
    <xf numFmtId="0" fontId="1" fillId="5" borderId="4" xfId="3" applyBorder="1">
      <alignment horizontal="center"/>
    </xf>
    <xf numFmtId="0" fontId="1" fillId="5" borderId="5" xfId="3" applyBorder="1">
      <alignment horizontal="center"/>
    </xf>
    <xf numFmtId="0" fontId="1" fillId="5" borderId="6" xfId="3" applyBorder="1">
      <alignment horizontal="center"/>
    </xf>
    <xf numFmtId="0" fontId="1" fillId="5" borderId="0" xfId="3" applyBorder="1">
      <alignment horizontal="center"/>
    </xf>
    <xf numFmtId="0" fontId="1" fillId="5" borderId="8" xfId="3" applyBorder="1">
      <alignment horizontal="center"/>
    </xf>
    <xf numFmtId="0" fontId="1" fillId="5" borderId="9" xfId="3" applyBorder="1">
      <alignment horizontal="center"/>
    </xf>
    <xf numFmtId="0" fontId="1" fillId="5" borderId="10" xfId="3" applyBorder="1">
      <alignment horizontal="center"/>
    </xf>
    <xf numFmtId="0" fontId="0" fillId="5" borderId="10" xfId="3" applyFont="1" applyBorder="1">
      <alignment horizontal="center"/>
    </xf>
    <xf numFmtId="0" fontId="1" fillId="5" borderId="11" xfId="3" applyBorder="1">
      <alignment horizontal="center"/>
    </xf>
    <xf numFmtId="11" fontId="1" fillId="5" borderId="13" xfId="3" applyNumberFormat="1" applyBorder="1">
      <alignment horizontal="center"/>
    </xf>
    <xf numFmtId="0" fontId="1" fillId="5" borderId="3" xfId="3" applyBorder="1">
      <alignment horizontal="center"/>
    </xf>
    <xf numFmtId="0" fontId="0" fillId="5" borderId="13" xfId="3" applyFont="1" applyBorder="1">
      <alignment horizontal="center"/>
    </xf>
    <xf numFmtId="0" fontId="0" fillId="5" borderId="14" xfId="3" applyFont="1" applyBorder="1">
      <alignment horizontal="center"/>
    </xf>
    <xf numFmtId="0" fontId="1" fillId="5" borderId="6" xfId="5" applyBorder="1">
      <alignment horizontal="center"/>
    </xf>
    <xf numFmtId="0" fontId="1" fillId="5" borderId="8" xfId="5" applyBorder="1">
      <alignment horizontal="center"/>
    </xf>
    <xf numFmtId="0" fontId="1" fillId="5" borderId="11" xfId="5" applyBorder="1">
      <alignment horizontal="center"/>
    </xf>
    <xf numFmtId="0" fontId="0" fillId="5" borderId="3" xfId="3" applyFont="1" applyBorder="1">
      <alignment horizontal="center"/>
    </xf>
    <xf numFmtId="0" fontId="1" fillId="5" borderId="3" xfId="3" applyAlignment="1">
      <alignment horizontal="left"/>
    </xf>
    <xf numFmtId="0" fontId="1" fillId="5" borderId="4" xfId="3" applyBorder="1" applyAlignment="1">
      <alignment horizontal="left"/>
    </xf>
    <xf numFmtId="0" fontId="1" fillId="5" borderId="7" xfId="3" applyBorder="1" applyAlignment="1">
      <alignment horizontal="left"/>
    </xf>
    <xf numFmtId="0" fontId="1" fillId="5" borderId="9" xfId="3" applyBorder="1" applyAlignment="1">
      <alignment horizontal="left"/>
    </xf>
    <xf numFmtId="0" fontId="1" fillId="5" borderId="10" xfId="3" applyBorder="1" applyAlignment="1">
      <alignment horizontal="left"/>
    </xf>
    <xf numFmtId="0" fontId="1" fillId="5" borderId="3" xfId="3" applyBorder="1" applyAlignment="1">
      <alignment horizontal="left"/>
    </xf>
    <xf numFmtId="0" fontId="0" fillId="5" borderId="3" xfId="3" applyFont="1" applyBorder="1" applyAlignment="1"/>
    <xf numFmtId="0" fontId="1" fillId="5" borderId="3" xfId="3" applyBorder="1" applyAlignment="1"/>
    <xf numFmtId="0" fontId="1" fillId="5" borderId="13" xfId="3" applyBorder="1" applyAlignment="1"/>
    <xf numFmtId="0" fontId="1" fillId="5" borderId="12" xfId="3" applyBorder="1" applyAlignment="1"/>
    <xf numFmtId="0" fontId="0" fillId="5" borderId="12" xfId="3" applyFont="1" applyBorder="1">
      <alignment horizontal="center"/>
    </xf>
    <xf numFmtId="0" fontId="21" fillId="5" borderId="13" xfId="3" applyFont="1" applyBorder="1">
      <alignment horizontal="center"/>
    </xf>
    <xf numFmtId="0" fontId="1" fillId="5" borderId="15" xfId="3" applyBorder="1">
      <alignment horizontal="center"/>
    </xf>
    <xf numFmtId="11" fontId="0" fillId="5" borderId="13" xfId="3" applyNumberFormat="1" applyFont="1" applyBorder="1">
      <alignment horizontal="center"/>
    </xf>
    <xf numFmtId="0" fontId="0" fillId="5" borderId="17" xfId="3" applyFont="1" applyBorder="1" applyAlignment="1">
      <alignment horizontal="left"/>
    </xf>
    <xf numFmtId="0" fontId="1" fillId="5" borderId="3" xfId="3">
      <alignment horizontal="center"/>
    </xf>
    <xf numFmtId="0" fontId="10" fillId="3" borderId="3" xfId="6">
      <alignment horizontal="center"/>
    </xf>
    <xf numFmtId="0" fontId="10" fillId="3" borderId="3" xfId="6" applyBorder="1">
      <alignment horizontal="center"/>
    </xf>
    <xf numFmtId="0" fontId="0" fillId="5" borderId="3" xfId="3" applyFont="1">
      <alignment horizontal="center"/>
    </xf>
    <xf numFmtId="0" fontId="1" fillId="6" borderId="3" xfId="3" applyFill="1">
      <alignment horizontal="center"/>
    </xf>
    <xf numFmtId="0" fontId="10" fillId="3" borderId="12" xfId="6" applyBorder="1" applyAlignment="1"/>
    <xf numFmtId="0" fontId="1" fillId="7" borderId="3" xfId="3" applyFill="1">
      <alignment horizontal="center"/>
    </xf>
    <xf numFmtId="0" fontId="1" fillId="5" borderId="3" xfId="3">
      <alignment horizontal="center"/>
    </xf>
    <xf numFmtId="0" fontId="10" fillId="3" borderId="3" xfId="6">
      <alignment horizontal="center"/>
    </xf>
    <xf numFmtId="0" fontId="1" fillId="5" borderId="0" xfId="5" applyAlignment="1">
      <alignment horizontal="center"/>
    </xf>
    <xf numFmtId="0" fontId="0" fillId="5" borderId="3" xfId="3" applyFont="1">
      <alignment horizontal="center"/>
    </xf>
    <xf numFmtId="0" fontId="1" fillId="5" borderId="3" xfId="3">
      <alignment horizontal="center"/>
    </xf>
    <xf numFmtId="0" fontId="0" fillId="5" borderId="12" xfId="3" applyFont="1" applyBorder="1" applyAlignment="1"/>
    <xf numFmtId="0" fontId="0" fillId="5" borderId="13" xfId="3" applyFont="1" applyBorder="1" applyAlignment="1"/>
    <xf numFmtId="0" fontId="1" fillId="5" borderId="3" xfId="3">
      <alignment horizontal="center"/>
    </xf>
    <xf numFmtId="0" fontId="0" fillId="5" borderId="3" xfId="3" applyFont="1">
      <alignment horizontal="center"/>
    </xf>
    <xf numFmtId="0" fontId="1" fillId="5" borderId="3" xfId="3">
      <alignment horizontal="center"/>
    </xf>
    <xf numFmtId="0" fontId="0" fillId="5" borderId="3" xfId="3" applyFont="1">
      <alignment horizontal="center"/>
    </xf>
    <xf numFmtId="0" fontId="0" fillId="4" borderId="3" xfId="3" applyFont="1" applyFill="1" applyBorder="1">
      <alignment horizontal="center"/>
    </xf>
    <xf numFmtId="0" fontId="1" fillId="4" borderId="3" xfId="3" applyFill="1" applyBorder="1">
      <alignment horizontal="center"/>
    </xf>
    <xf numFmtId="0" fontId="1" fillId="5" borderId="0" xfId="5" applyAlignment="1">
      <alignment vertical="center" textRotation="90"/>
    </xf>
    <xf numFmtId="0" fontId="1" fillId="3" borderId="0" xfId="5" applyFill="1" applyAlignment="1"/>
    <xf numFmtId="0" fontId="1" fillId="5" borderId="29" xfId="3" applyBorder="1">
      <alignment horizontal="center"/>
    </xf>
    <xf numFmtId="0" fontId="10" fillId="3" borderId="3" xfId="6">
      <alignment horizontal="center"/>
    </xf>
    <xf numFmtId="0" fontId="0" fillId="5" borderId="3" xfId="3" applyFont="1">
      <alignment horizontal="center"/>
    </xf>
    <xf numFmtId="0" fontId="10" fillId="3" borderId="3" xfId="6" applyAlignment="1">
      <alignment horizontal="center" vertical="center"/>
    </xf>
    <xf numFmtId="0" fontId="10" fillId="3" borderId="3" xfId="6" applyBorder="1" applyAlignment="1">
      <alignment horizontal="center" vertical="center"/>
    </xf>
    <xf numFmtId="0" fontId="1" fillId="5" borderId="14" xfId="5" applyBorder="1">
      <alignment horizontal="center"/>
    </xf>
    <xf numFmtId="0" fontId="1" fillId="5" borderId="9" xfId="5" applyBorder="1" applyAlignment="1">
      <alignment horizontal="left"/>
    </xf>
    <xf numFmtId="0" fontId="1" fillId="5" borderId="3" xfId="3">
      <alignment horizontal="center"/>
    </xf>
    <xf numFmtId="0" fontId="0" fillId="5" borderId="3" xfId="3" applyFont="1">
      <alignment horizontal="center"/>
    </xf>
    <xf numFmtId="0" fontId="1" fillId="5" borderId="0" xfId="5" applyAlignment="1">
      <alignment vertical="center" wrapText="1"/>
    </xf>
    <xf numFmtId="0" fontId="1" fillId="5" borderId="0" xfId="5" applyAlignment="1">
      <alignment vertical="center"/>
    </xf>
    <xf numFmtId="0" fontId="20" fillId="5" borderId="0" xfId="6" applyFont="1" applyFill="1" applyBorder="1" applyAlignment="1">
      <alignment vertical="center" textRotation="90"/>
    </xf>
    <xf numFmtId="0" fontId="20" fillId="5" borderId="0" xfId="6" applyFont="1" applyFill="1" applyBorder="1" applyAlignment="1">
      <alignment vertical="center"/>
    </xf>
    <xf numFmtId="0" fontId="10" fillId="5" borderId="0" xfId="6" applyFill="1" applyBorder="1" applyAlignment="1">
      <alignment vertical="center"/>
    </xf>
    <xf numFmtId="0" fontId="0" fillId="5" borderId="0" xfId="0" applyFill="1" applyBorder="1"/>
    <xf numFmtId="0" fontId="0" fillId="5" borderId="0" xfId="5" applyFont="1" applyFill="1" applyBorder="1" applyAlignment="1"/>
    <xf numFmtId="0" fontId="10" fillId="5" borderId="0" xfId="6" applyFill="1" applyBorder="1" applyAlignment="1"/>
    <xf numFmtId="0" fontId="29" fillId="5" borderId="0" xfId="6" applyFont="1" applyFill="1" applyBorder="1" applyAlignment="1">
      <alignment vertical="center" textRotation="90"/>
    </xf>
    <xf numFmtId="0" fontId="1" fillId="5" borderId="3" xfId="3">
      <alignment horizontal="center"/>
    </xf>
    <xf numFmtId="0" fontId="0" fillId="5" borderId="3" xfId="3" applyFont="1">
      <alignment horizontal="center"/>
    </xf>
    <xf numFmtId="0" fontId="1" fillId="5" borderId="12" xfId="3" applyBorder="1" applyAlignment="1">
      <alignment horizontal="left"/>
    </xf>
    <xf numFmtId="0" fontId="1" fillId="5" borderId="13" xfId="3" applyBorder="1" applyAlignment="1">
      <alignment horizontal="left"/>
    </xf>
    <xf numFmtId="0" fontId="1" fillId="5" borderId="14" xfId="3" applyBorder="1" applyAlignment="1">
      <alignment horizontal="left"/>
    </xf>
    <xf numFmtId="0" fontId="0" fillId="5" borderId="12" xfId="3" applyFont="1" applyBorder="1" applyAlignment="1">
      <alignment horizontal="left"/>
    </xf>
    <xf numFmtId="0" fontId="1" fillId="5" borderId="13" xfId="3" applyBorder="1">
      <alignment horizontal="center"/>
    </xf>
    <xf numFmtId="0" fontId="1" fillId="5" borderId="14" xfId="3" applyBorder="1">
      <alignment horizontal="center"/>
    </xf>
    <xf numFmtId="0" fontId="1" fillId="5" borderId="12" xfId="5" applyBorder="1" applyAlignment="1">
      <alignment horizontal="left"/>
    </xf>
    <xf numFmtId="0" fontId="1" fillId="5" borderId="13" xfId="5" applyBorder="1" applyAlignment="1">
      <alignment horizontal="left"/>
    </xf>
    <xf numFmtId="0" fontId="0" fillId="5" borderId="13" xfId="3" applyFont="1" applyBorder="1" applyAlignment="1">
      <alignment horizontal="left"/>
    </xf>
    <xf numFmtId="0" fontId="22" fillId="4" borderId="3" xfId="3" applyFont="1" applyFill="1">
      <alignment horizontal="center"/>
    </xf>
    <xf numFmtId="0" fontId="0" fillId="5" borderId="0" xfId="5" applyFont="1" applyAlignment="1"/>
    <xf numFmtId="0" fontId="1" fillId="8" borderId="3" xfId="3" applyFill="1">
      <alignment horizontal="center"/>
    </xf>
    <xf numFmtId="0" fontId="0" fillId="8" borderId="3" xfId="3" applyFont="1" applyFill="1">
      <alignment horizontal="center"/>
    </xf>
    <xf numFmtId="0" fontId="1" fillId="5" borderId="5" xfId="5" applyBorder="1" applyAlignment="1"/>
    <xf numFmtId="0" fontId="0" fillId="5" borderId="9" xfId="3" applyFont="1" applyBorder="1" applyAlignment="1">
      <alignment horizontal="left"/>
    </xf>
    <xf numFmtId="0" fontId="1" fillId="5" borderId="10" xfId="3" applyBorder="1" applyAlignment="1"/>
    <xf numFmtId="0" fontId="1" fillId="5" borderId="0" xfId="5" applyBorder="1" applyAlignment="1"/>
    <xf numFmtId="0" fontId="22" fillId="6" borderId="12" xfId="3" applyFont="1" applyFill="1" applyBorder="1" applyAlignment="1">
      <alignment horizontal="left"/>
    </xf>
    <xf numFmtId="0" fontId="22" fillId="6" borderId="13" xfId="3" applyFont="1" applyFill="1" applyBorder="1" applyAlignment="1">
      <alignment horizontal="left"/>
    </xf>
    <xf numFmtId="0" fontId="1" fillId="5" borderId="0" xfId="5" applyBorder="1" applyAlignment="1">
      <alignment horizontal="left"/>
    </xf>
    <xf numFmtId="0" fontId="1" fillId="5" borderId="3" xfId="3">
      <alignment horizontal="center"/>
    </xf>
    <xf numFmtId="0" fontId="10" fillId="3" borderId="3" xfId="6">
      <alignment horizontal="center"/>
    </xf>
    <xf numFmtId="0" fontId="0" fillId="5" borderId="3" xfId="3" applyFont="1">
      <alignment horizontal="center"/>
    </xf>
    <xf numFmtId="0" fontId="0" fillId="5" borderId="12" xfId="3" applyFont="1" applyBorder="1" applyAlignment="1">
      <alignment horizontal="center"/>
    </xf>
    <xf numFmtId="0" fontId="0" fillId="5" borderId="14" xfId="3" applyFont="1" applyBorder="1" applyAlignment="1">
      <alignment horizontal="center"/>
    </xf>
    <xf numFmtId="0" fontId="1" fillId="5" borderId="13" xfId="3" applyBorder="1">
      <alignment horizontal="center"/>
    </xf>
    <xf numFmtId="0" fontId="1" fillId="5" borderId="12" xfId="3" applyBorder="1">
      <alignment horizontal="center"/>
    </xf>
    <xf numFmtId="0" fontId="1" fillId="5" borderId="13" xfId="3" applyBorder="1" applyAlignment="1">
      <alignment horizontal="left"/>
    </xf>
    <xf numFmtId="0" fontId="0" fillId="5" borderId="12" xfId="3" applyFont="1" applyBorder="1" applyAlignment="1">
      <alignment horizontal="left"/>
    </xf>
    <xf numFmtId="0" fontId="1" fillId="5" borderId="14" xfId="3" applyBorder="1">
      <alignment horizontal="center"/>
    </xf>
    <xf numFmtId="0" fontId="15" fillId="5" borderId="0" xfId="3" applyFont="1" applyFill="1" applyBorder="1" applyAlignment="1"/>
    <xf numFmtId="0" fontId="0" fillId="5" borderId="14" xfId="3" applyFont="1" applyBorder="1" applyAlignment="1"/>
    <xf numFmtId="0" fontId="15" fillId="5" borderId="0" xfId="3" applyFont="1" applyFill="1" applyBorder="1" applyAlignment="1">
      <alignment horizontal="center"/>
    </xf>
    <xf numFmtId="0" fontId="0" fillId="5" borderId="21" xfId="3" applyFont="1" applyFill="1" applyBorder="1" applyAlignment="1">
      <alignment horizontal="center"/>
    </xf>
    <xf numFmtId="0" fontId="0" fillId="5" borderId="0" xfId="3" applyFont="1" applyFill="1" applyBorder="1" applyAlignment="1">
      <alignment horizontal="center"/>
    </xf>
    <xf numFmtId="0" fontId="19" fillId="3" borderId="26" xfId="6" applyFont="1" applyBorder="1" applyAlignment="1">
      <alignment horizontal="center" vertical="center"/>
    </xf>
    <xf numFmtId="0" fontId="10" fillId="3" borderId="27" xfId="6" applyBorder="1" applyAlignment="1">
      <alignment horizontal="center" vertical="center"/>
    </xf>
    <xf numFmtId="0" fontId="10" fillId="3" borderId="28" xfId="6" applyBorder="1" applyAlignment="1">
      <alignment horizontal="center" vertical="center"/>
    </xf>
    <xf numFmtId="0" fontId="14" fillId="5" borderId="0" xfId="3" applyFont="1" applyFill="1" applyBorder="1" applyAlignment="1">
      <alignment horizontal="center"/>
    </xf>
    <xf numFmtId="0" fontId="10" fillId="3" borderId="7" xfId="6" applyBorder="1" applyAlignment="1">
      <alignment horizontal="center"/>
    </xf>
    <xf numFmtId="0" fontId="10" fillId="3" borderId="0" xfId="6" applyBorder="1" applyAlignment="1">
      <alignment horizontal="center"/>
    </xf>
    <xf numFmtId="0" fontId="10" fillId="3" borderId="15" xfId="6" applyBorder="1" applyAlignment="1">
      <alignment horizontal="center" vertical="center"/>
    </xf>
    <xf numFmtId="0" fontId="10" fillId="3" borderId="16" xfId="6" applyBorder="1" applyAlignment="1">
      <alignment horizontal="center" vertical="center"/>
    </xf>
    <xf numFmtId="0" fontId="10" fillId="3" borderId="17" xfId="6" applyBorder="1" applyAlignment="1">
      <alignment horizontal="center" vertical="center"/>
    </xf>
    <xf numFmtId="0" fontId="1" fillId="5" borderId="3" xfId="3">
      <alignment horizontal="center"/>
    </xf>
    <xf numFmtId="0" fontId="10" fillId="3" borderId="3" xfId="6">
      <alignment horizontal="center"/>
    </xf>
    <xf numFmtId="0" fontId="1" fillId="5" borderId="0" xfId="5" applyAlignment="1">
      <alignment horizontal="center"/>
    </xf>
    <xf numFmtId="0" fontId="10" fillId="3" borderId="12" xfId="6" applyBorder="1" applyAlignment="1">
      <alignment horizontal="center"/>
    </xf>
    <xf numFmtId="0" fontId="10" fillId="3" borderId="14" xfId="6" applyBorder="1" applyAlignment="1">
      <alignment horizontal="center"/>
    </xf>
    <xf numFmtId="0" fontId="10" fillId="3" borderId="13" xfId="6" applyBorder="1" applyAlignment="1">
      <alignment horizontal="center"/>
    </xf>
    <xf numFmtId="0" fontId="20" fillId="3" borderId="0" xfId="6" applyFont="1" applyBorder="1" applyAlignment="1">
      <alignment horizontal="center" vertical="center" textRotation="90"/>
    </xf>
    <xf numFmtId="0" fontId="10" fillId="3" borderId="12" xfId="6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1" fillId="5" borderId="12" xfId="3" applyBorder="1" applyAlignment="1">
      <alignment horizontal="center"/>
    </xf>
    <xf numFmtId="0" fontId="1" fillId="5" borderId="14" xfId="3" applyBorder="1" applyAlignment="1">
      <alignment horizontal="center"/>
    </xf>
    <xf numFmtId="0" fontId="0" fillId="5" borderId="12" xfId="3" applyFont="1" applyBorder="1" applyAlignment="1">
      <alignment horizontal="center"/>
    </xf>
    <xf numFmtId="0" fontId="0" fillId="5" borderId="14" xfId="3" applyFont="1" applyBorder="1" applyAlignment="1">
      <alignment horizontal="center"/>
    </xf>
    <xf numFmtId="0" fontId="1" fillId="5" borderId="13" xfId="3" applyBorder="1" applyAlignment="1">
      <alignment horizontal="center"/>
    </xf>
    <xf numFmtId="0" fontId="0" fillId="5" borderId="3" xfId="3" applyFont="1">
      <alignment horizontal="center"/>
    </xf>
    <xf numFmtId="0" fontId="26" fillId="3" borderId="15" xfId="6" applyFont="1" applyBorder="1" applyAlignment="1">
      <alignment horizontal="center" vertical="center" textRotation="90"/>
    </xf>
    <xf numFmtId="0" fontId="26" fillId="3" borderId="16" xfId="6" applyFont="1" applyBorder="1" applyAlignment="1">
      <alignment horizontal="center" vertical="center" textRotation="90"/>
    </xf>
    <xf numFmtId="0" fontId="26" fillId="3" borderId="17" xfId="6" applyFont="1" applyBorder="1" applyAlignment="1">
      <alignment horizontal="center" vertical="center" textRotation="90"/>
    </xf>
    <xf numFmtId="0" fontId="10" fillId="3" borderId="12" xfId="6" applyBorder="1">
      <alignment horizontal="center"/>
    </xf>
    <xf numFmtId="0" fontId="10" fillId="3" borderId="3" xfId="6" applyBorder="1">
      <alignment horizontal="center"/>
    </xf>
    <xf numFmtId="0" fontId="10" fillId="3" borderId="12" xfId="4" applyFont="1" applyBorder="1">
      <alignment horizontal="center"/>
    </xf>
    <xf numFmtId="0" fontId="10" fillId="3" borderId="13" xfId="4" applyFont="1" applyBorder="1">
      <alignment horizontal="center"/>
    </xf>
    <xf numFmtId="0" fontId="10" fillId="3" borderId="14" xfId="4" applyFont="1" applyBorder="1">
      <alignment horizontal="center"/>
    </xf>
    <xf numFmtId="0" fontId="1" fillId="5" borderId="0" xfId="5" applyAlignment="1">
      <alignment horizontal="center" vertical="center" textRotation="90"/>
    </xf>
    <xf numFmtId="0" fontId="1" fillId="5" borderId="0" xfId="5" applyAlignment="1">
      <alignment horizontal="center" vertical="center"/>
    </xf>
    <xf numFmtId="0" fontId="1" fillId="5" borderId="12" xfId="3" applyBorder="1">
      <alignment horizontal="center"/>
    </xf>
    <xf numFmtId="0" fontId="1" fillId="5" borderId="12" xfId="3" applyBorder="1" applyAlignment="1">
      <alignment horizontal="left"/>
    </xf>
    <xf numFmtId="0" fontId="1" fillId="5" borderId="13" xfId="3" applyBorder="1" applyAlignment="1">
      <alignment horizontal="left"/>
    </xf>
    <xf numFmtId="0" fontId="1" fillId="5" borderId="14" xfId="3" applyBorder="1" applyAlignment="1">
      <alignment horizontal="left"/>
    </xf>
    <xf numFmtId="0" fontId="0" fillId="5" borderId="12" xfId="3" applyFont="1" applyBorder="1" applyAlignment="1">
      <alignment horizontal="left"/>
    </xf>
    <xf numFmtId="0" fontId="1" fillId="5" borderId="13" xfId="3" applyBorder="1">
      <alignment horizontal="center"/>
    </xf>
    <xf numFmtId="0" fontId="1" fillId="5" borderId="14" xfId="3" applyBorder="1">
      <alignment horizontal="center"/>
    </xf>
    <xf numFmtId="0" fontId="21" fillId="5" borderId="13" xfId="3" applyFont="1" applyBorder="1" applyAlignment="1">
      <alignment horizontal="center"/>
    </xf>
    <xf numFmtId="0" fontId="1" fillId="5" borderId="12" xfId="5" applyBorder="1" applyAlignment="1">
      <alignment horizontal="left"/>
    </xf>
    <xf numFmtId="0" fontId="1" fillId="5" borderId="13" xfId="5" applyBorder="1" applyAlignment="1">
      <alignment horizontal="left"/>
    </xf>
    <xf numFmtId="0" fontId="0" fillId="5" borderId="13" xfId="3" applyFont="1" applyBorder="1" applyAlignment="1">
      <alignment horizontal="left"/>
    </xf>
    <xf numFmtId="0" fontId="8" fillId="5" borderId="7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23" fillId="5" borderId="4" xfId="0" applyFont="1" applyFill="1" applyBorder="1" applyAlignment="1">
      <alignment horizontal="center" readingOrder="2"/>
    </xf>
    <xf numFmtId="0" fontId="23" fillId="5" borderId="5" xfId="0" applyFont="1" applyFill="1" applyBorder="1" applyAlignment="1">
      <alignment horizontal="center" readingOrder="2"/>
    </xf>
    <xf numFmtId="0" fontId="23" fillId="5" borderId="6" xfId="0" applyFont="1" applyFill="1" applyBorder="1" applyAlignment="1">
      <alignment horizontal="center" readingOrder="2"/>
    </xf>
    <xf numFmtId="0" fontId="23" fillId="5" borderId="7" xfId="0" applyFont="1" applyFill="1" applyBorder="1" applyAlignment="1">
      <alignment horizontal="center" readingOrder="2"/>
    </xf>
    <xf numFmtId="0" fontId="23" fillId="5" borderId="0" xfId="0" applyFont="1" applyFill="1" applyBorder="1" applyAlignment="1">
      <alignment horizontal="center" readingOrder="2"/>
    </xf>
    <xf numFmtId="0" fontId="23" fillId="5" borderId="8" xfId="0" applyFont="1" applyFill="1" applyBorder="1" applyAlignment="1">
      <alignment horizontal="center" readingOrder="2"/>
    </xf>
    <xf numFmtId="0" fontId="7" fillId="5" borderId="7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5" borderId="10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  <xf numFmtId="0" fontId="8" fillId="5" borderId="7" xfId="0" applyFont="1" applyFill="1" applyBorder="1" applyAlignment="1">
      <alignment horizontal="center" readingOrder="1"/>
    </xf>
    <xf numFmtId="0" fontId="8" fillId="5" borderId="0" xfId="0" applyFont="1" applyFill="1" applyBorder="1" applyAlignment="1">
      <alignment horizontal="center" readingOrder="1"/>
    </xf>
    <xf numFmtId="0" fontId="8" fillId="5" borderId="8" xfId="0" applyFont="1" applyFill="1" applyBorder="1" applyAlignment="1">
      <alignment horizontal="center" readingOrder="1"/>
    </xf>
    <xf numFmtId="0" fontId="8" fillId="5" borderId="7" xfId="0" applyFont="1" applyFill="1" applyBorder="1" applyAlignment="1">
      <alignment horizontal="center" wrapText="1"/>
    </xf>
    <xf numFmtId="0" fontId="8" fillId="5" borderId="0" xfId="0" applyFont="1" applyFill="1" applyBorder="1" applyAlignment="1">
      <alignment horizontal="center" wrapText="1"/>
    </xf>
    <xf numFmtId="0" fontId="8" fillId="5" borderId="8" xfId="0" applyFont="1" applyFill="1" applyBorder="1" applyAlignment="1">
      <alignment horizontal="center" wrapText="1"/>
    </xf>
    <xf numFmtId="0" fontId="18" fillId="5" borderId="7" xfId="2" applyFont="1" applyFill="1" applyBorder="1" applyAlignment="1" applyProtection="1">
      <alignment horizontal="center"/>
    </xf>
    <xf numFmtId="0" fontId="25" fillId="0" borderId="0" xfId="0" applyFont="1" applyBorder="1" applyAlignment="1">
      <alignment horizontal="center" readingOrder="2"/>
    </xf>
    <xf numFmtId="0" fontId="25" fillId="0" borderId="8" xfId="0" applyFont="1" applyBorder="1" applyAlignment="1">
      <alignment horizontal="center" readingOrder="2"/>
    </xf>
    <xf numFmtId="0" fontId="27" fillId="5" borderId="4" xfId="0" applyFont="1" applyFill="1" applyBorder="1" applyAlignment="1">
      <alignment horizontal="center" readingOrder="1"/>
    </xf>
    <xf numFmtId="0" fontId="27" fillId="5" borderId="5" xfId="0" applyFont="1" applyFill="1" applyBorder="1" applyAlignment="1">
      <alignment horizontal="center" readingOrder="1"/>
    </xf>
    <xf numFmtId="0" fontId="27" fillId="5" borderId="6" xfId="0" applyFont="1" applyFill="1" applyBorder="1" applyAlignment="1">
      <alignment horizontal="center" readingOrder="1"/>
    </xf>
    <xf numFmtId="0" fontId="27" fillId="5" borderId="7" xfId="0" applyFont="1" applyFill="1" applyBorder="1" applyAlignment="1">
      <alignment horizontal="center" readingOrder="2"/>
    </xf>
    <xf numFmtId="0" fontId="27" fillId="5" borderId="0" xfId="0" applyFont="1" applyFill="1" applyBorder="1" applyAlignment="1">
      <alignment horizontal="center" readingOrder="2"/>
    </xf>
    <xf numFmtId="0" fontId="27" fillId="5" borderId="8" xfId="0" applyFont="1" applyFill="1" applyBorder="1" applyAlignment="1">
      <alignment horizontal="center" readingOrder="2"/>
    </xf>
    <xf numFmtId="0" fontId="27" fillId="5" borderId="7" xfId="0" applyFont="1" applyFill="1" applyBorder="1" applyAlignment="1">
      <alignment horizontal="center"/>
    </xf>
    <xf numFmtId="0" fontId="27" fillId="5" borderId="0" xfId="0" applyFont="1" applyFill="1" applyBorder="1" applyAlignment="1">
      <alignment horizontal="center"/>
    </xf>
    <xf numFmtId="0" fontId="27" fillId="5" borderId="8" xfId="0" applyFont="1" applyFill="1" applyBorder="1" applyAlignment="1">
      <alignment horizontal="center"/>
    </xf>
    <xf numFmtId="0" fontId="28" fillId="5" borderId="9" xfId="0" applyFont="1" applyFill="1" applyBorder="1" applyAlignment="1">
      <alignment horizontal="center"/>
    </xf>
    <xf numFmtId="0" fontId="28" fillId="5" borderId="10" xfId="0" applyFont="1" applyFill="1" applyBorder="1" applyAlignment="1">
      <alignment horizontal="center"/>
    </xf>
    <xf numFmtId="0" fontId="28" fillId="5" borderId="11" xfId="0" applyFont="1" applyFill="1" applyBorder="1" applyAlignment="1">
      <alignment horizontal="center"/>
    </xf>
  </cellXfs>
  <cellStyles count="7">
    <cellStyle name="body cell" xfId="3"/>
    <cellStyle name="Hyperlink" xfId="2" builtinId="8"/>
    <cellStyle name="jadval" xfId="1"/>
    <cellStyle name="Normal" xfId="0" builtinId="0"/>
    <cellStyle name="Title Big" xfId="4"/>
    <cellStyle name="پس زمینه" xfId="5"/>
    <cellStyle name="سرتیتر" xfId="6"/>
  </cellStyles>
  <dxfs count="0"/>
  <tableStyles count="0" defaultTableStyle="TableStyleMedium9" defaultPivotStyle="PivotStyleLight16"/>
  <colors>
    <mruColors>
      <color rgb="FFD60093"/>
      <color rgb="FFFCC96C"/>
      <color rgb="FFFDE8C3"/>
      <color rgb="FFFEF4E2"/>
      <color rgb="FFFFFFCC"/>
      <color rgb="FF006600"/>
      <color rgb="FF33CC33"/>
      <color rgb="FF008000"/>
      <color rgb="FF008E4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externalLink" Target="externalLinks/externalLink3.xml"/><Relationship Id="rId18" Type="http://schemas.openxmlformats.org/officeDocument/2006/relationships/externalLink" Target="externalLinks/externalLink4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Shell</a:t>
            </a:r>
            <a:r>
              <a:rPr lang="en-US" baseline="0"/>
              <a:t> Side; Cp Vs. T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'Temp. dependency'!$C$27</c:f>
              <c:strCache>
                <c:ptCount val="1"/>
                <c:pt idx="0">
                  <c:v>kJ/(kgK)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'Temp. dependency'!$B$28:$B$36</c:f>
              <c:numCache>
                <c:formatCode>General</c:formatCode>
                <c:ptCount val="9"/>
                <c:pt idx="0">
                  <c:v>189.0</c:v>
                </c:pt>
                <c:pt idx="1">
                  <c:v>195.0</c:v>
                </c:pt>
                <c:pt idx="2">
                  <c:v>201.0</c:v>
                </c:pt>
                <c:pt idx="3">
                  <c:v>207.0</c:v>
                </c:pt>
                <c:pt idx="4">
                  <c:v>213.0</c:v>
                </c:pt>
                <c:pt idx="5">
                  <c:v>219.0</c:v>
                </c:pt>
                <c:pt idx="6">
                  <c:v>225.0</c:v>
                </c:pt>
                <c:pt idx="7">
                  <c:v>229.0</c:v>
                </c:pt>
                <c:pt idx="8">
                  <c:v>234.0</c:v>
                </c:pt>
              </c:numCache>
            </c:numRef>
          </c:xVal>
          <c:yVal>
            <c:numRef>
              <c:f>'Temp. dependency'!$C$28:$C$36</c:f>
              <c:numCache>
                <c:formatCode>General</c:formatCode>
                <c:ptCount val="9"/>
                <c:pt idx="0">
                  <c:v>2.32</c:v>
                </c:pt>
                <c:pt idx="1">
                  <c:v>2.35</c:v>
                </c:pt>
                <c:pt idx="2">
                  <c:v>2.37</c:v>
                </c:pt>
                <c:pt idx="3">
                  <c:v>2.4</c:v>
                </c:pt>
                <c:pt idx="4">
                  <c:v>2.44</c:v>
                </c:pt>
                <c:pt idx="5">
                  <c:v>2.47</c:v>
                </c:pt>
                <c:pt idx="6">
                  <c:v>2.5</c:v>
                </c:pt>
                <c:pt idx="7">
                  <c:v>2.52</c:v>
                </c:pt>
                <c:pt idx="8">
                  <c:v>2.55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483232"/>
        <c:axId val="1998452048"/>
      </c:scatterChart>
      <c:valAx>
        <c:axId val="199848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98452048"/>
        <c:crosses val="autoZero"/>
        <c:crossBetween val="midCat"/>
      </c:valAx>
      <c:valAx>
        <c:axId val="199845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9848323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" l="0.700000000000001" r="0.700000000000001" t="0.75000000000000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Tube Side;</a:t>
            </a:r>
            <a:r>
              <a:rPr lang="en-US" baseline="0"/>
              <a:t> Cp Vs. T</a:t>
            </a:r>
            <a:endParaRPr lang="en-US"/>
          </a:p>
        </c:rich>
      </c:tx>
      <c:layout>
        <c:manualLayout>
          <c:xMode val="edge"/>
          <c:yMode val="edge"/>
          <c:x val="0.385326334208228"/>
          <c:y val="0.0277777777777783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'Temp. dependency'!$C$6</c:f>
              <c:strCache>
                <c:ptCount val="1"/>
                <c:pt idx="0">
                  <c:v>kJ/(kgK)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'Temp. dependency'!$B$7:$B$20</c:f>
              <c:numCache>
                <c:formatCode>General</c:formatCode>
                <c:ptCount val="14"/>
                <c:pt idx="0">
                  <c:v>278.4</c:v>
                </c:pt>
                <c:pt idx="1">
                  <c:v>272.4</c:v>
                </c:pt>
                <c:pt idx="2">
                  <c:v>266.4</c:v>
                </c:pt>
                <c:pt idx="3">
                  <c:v>260.4</c:v>
                </c:pt>
                <c:pt idx="4">
                  <c:v>254.4</c:v>
                </c:pt>
                <c:pt idx="5">
                  <c:v>248.4</c:v>
                </c:pt>
                <c:pt idx="6">
                  <c:v>242.4</c:v>
                </c:pt>
                <c:pt idx="7">
                  <c:v>236.4</c:v>
                </c:pt>
                <c:pt idx="8">
                  <c:v>230.4</c:v>
                </c:pt>
                <c:pt idx="9">
                  <c:v>224.4</c:v>
                </c:pt>
                <c:pt idx="10">
                  <c:v>218.4</c:v>
                </c:pt>
                <c:pt idx="11">
                  <c:v>212.4</c:v>
                </c:pt>
                <c:pt idx="12">
                  <c:v>207.4</c:v>
                </c:pt>
                <c:pt idx="13">
                  <c:v>203.4</c:v>
                </c:pt>
              </c:numCache>
            </c:numRef>
          </c:xVal>
          <c:yVal>
            <c:numRef>
              <c:f>'Temp. dependency'!$C$7:$C$20</c:f>
              <c:numCache>
                <c:formatCode>General</c:formatCode>
                <c:ptCount val="14"/>
                <c:pt idx="0">
                  <c:v>2.89</c:v>
                </c:pt>
                <c:pt idx="1">
                  <c:v>2.83</c:v>
                </c:pt>
                <c:pt idx="2">
                  <c:v>2.78</c:v>
                </c:pt>
                <c:pt idx="3">
                  <c:v>2.74</c:v>
                </c:pt>
                <c:pt idx="4">
                  <c:v>2.69</c:v>
                </c:pt>
                <c:pt idx="5">
                  <c:v>2.65</c:v>
                </c:pt>
                <c:pt idx="6">
                  <c:v>2.61</c:v>
                </c:pt>
                <c:pt idx="7">
                  <c:v>2.58</c:v>
                </c:pt>
                <c:pt idx="8">
                  <c:v>2.54</c:v>
                </c:pt>
                <c:pt idx="9">
                  <c:v>2.51</c:v>
                </c:pt>
                <c:pt idx="10">
                  <c:v>2.48</c:v>
                </c:pt>
                <c:pt idx="11">
                  <c:v>2.44</c:v>
                </c:pt>
                <c:pt idx="12">
                  <c:v>2.42</c:v>
                </c:pt>
                <c:pt idx="13">
                  <c:v>2.4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533168"/>
        <c:axId val="1998535488"/>
      </c:scatterChart>
      <c:valAx>
        <c:axId val="199853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98535488"/>
        <c:crosses val="autoZero"/>
        <c:crossBetween val="midCat"/>
      </c:valAx>
      <c:valAx>
        <c:axId val="199853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9853316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" l="0.700000000000001" r="0.700000000000001" t="0.75000000000000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Shell Side; Viscosity Vs. 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'Temp. dependency'!$C$61</c:f>
              <c:strCache>
                <c:ptCount val="1"/>
                <c:pt idx="0">
                  <c:v>kg/m·s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</c:trendlineLbl>
          </c:trendline>
          <c:xVal>
            <c:numRef>
              <c:f>'Temp. dependency'!$B$62:$B$70</c:f>
              <c:numCache>
                <c:formatCode>General</c:formatCode>
                <c:ptCount val="9"/>
                <c:pt idx="0">
                  <c:v>189.0</c:v>
                </c:pt>
                <c:pt idx="1">
                  <c:v>195.0</c:v>
                </c:pt>
                <c:pt idx="2">
                  <c:v>201.0</c:v>
                </c:pt>
                <c:pt idx="3">
                  <c:v>207.0</c:v>
                </c:pt>
                <c:pt idx="4">
                  <c:v>213.0</c:v>
                </c:pt>
                <c:pt idx="5">
                  <c:v>219.0</c:v>
                </c:pt>
                <c:pt idx="6">
                  <c:v>225.0</c:v>
                </c:pt>
                <c:pt idx="7">
                  <c:v>229.0</c:v>
                </c:pt>
                <c:pt idx="8">
                  <c:v>234.0</c:v>
                </c:pt>
              </c:numCache>
            </c:numRef>
          </c:xVal>
          <c:yVal>
            <c:numRef>
              <c:f>'Temp. dependency'!$C$62:$C$70</c:f>
              <c:numCache>
                <c:formatCode>General</c:formatCode>
                <c:ptCount val="9"/>
                <c:pt idx="0">
                  <c:v>0.000166</c:v>
                </c:pt>
                <c:pt idx="1">
                  <c:v>0.000159</c:v>
                </c:pt>
                <c:pt idx="2">
                  <c:v>0.000152</c:v>
                </c:pt>
                <c:pt idx="3">
                  <c:v>0.000146</c:v>
                </c:pt>
                <c:pt idx="4">
                  <c:v>0.00014</c:v>
                </c:pt>
                <c:pt idx="5">
                  <c:v>0.000134</c:v>
                </c:pt>
                <c:pt idx="6">
                  <c:v>0.000129</c:v>
                </c:pt>
                <c:pt idx="7">
                  <c:v>0.000125</c:v>
                </c:pt>
                <c:pt idx="8">
                  <c:v>0.000121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365472"/>
        <c:axId val="1998367792"/>
      </c:scatterChart>
      <c:valAx>
        <c:axId val="199836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98367792"/>
        <c:crosses val="autoZero"/>
        <c:crossBetween val="midCat"/>
      </c:valAx>
      <c:valAx>
        <c:axId val="199836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9836547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" l="0.700000000000001" r="0.700000000000001" t="0.75000000000000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Tube</a:t>
            </a:r>
            <a:r>
              <a:rPr lang="en-US" baseline="0"/>
              <a:t> Side; Density Vs. T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189847112860895"/>
          <c:y val="0.0277777777777783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'Temp. dependency'!$C$76</c:f>
              <c:strCache>
                <c:ptCount val="1"/>
                <c:pt idx="0">
                  <c:v>kg/m^3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</c:trendlineLbl>
          </c:trendline>
          <c:xVal>
            <c:numRef>
              <c:f>'Temp. dependency'!$B$77:$B$90</c:f>
              <c:numCache>
                <c:formatCode>General</c:formatCode>
                <c:ptCount val="14"/>
                <c:pt idx="0">
                  <c:v>278.4</c:v>
                </c:pt>
                <c:pt idx="1">
                  <c:v>272.4</c:v>
                </c:pt>
                <c:pt idx="2">
                  <c:v>266.4</c:v>
                </c:pt>
                <c:pt idx="3">
                  <c:v>260.4</c:v>
                </c:pt>
                <c:pt idx="4">
                  <c:v>254.4</c:v>
                </c:pt>
                <c:pt idx="5">
                  <c:v>248.4</c:v>
                </c:pt>
                <c:pt idx="6">
                  <c:v>242.4</c:v>
                </c:pt>
                <c:pt idx="7">
                  <c:v>236.4</c:v>
                </c:pt>
                <c:pt idx="8">
                  <c:v>230.4</c:v>
                </c:pt>
                <c:pt idx="9">
                  <c:v>224.4</c:v>
                </c:pt>
                <c:pt idx="10">
                  <c:v>218.4</c:v>
                </c:pt>
                <c:pt idx="11">
                  <c:v>212.4</c:v>
                </c:pt>
                <c:pt idx="12">
                  <c:v>207.4</c:v>
                </c:pt>
                <c:pt idx="13">
                  <c:v>203.4</c:v>
                </c:pt>
              </c:numCache>
            </c:numRef>
          </c:xVal>
          <c:yVal>
            <c:numRef>
              <c:f>'Temp. dependency'!$C$77:$C$90</c:f>
              <c:numCache>
                <c:formatCode>General</c:formatCode>
                <c:ptCount val="14"/>
                <c:pt idx="0">
                  <c:v>597.4</c:v>
                </c:pt>
                <c:pt idx="1">
                  <c:v>606.5</c:v>
                </c:pt>
                <c:pt idx="2">
                  <c:v>615.3</c:v>
                </c:pt>
                <c:pt idx="3">
                  <c:v>623.7</c:v>
                </c:pt>
                <c:pt idx="4">
                  <c:v>631.9</c:v>
                </c:pt>
                <c:pt idx="5">
                  <c:v>639.7</c:v>
                </c:pt>
                <c:pt idx="6">
                  <c:v>647.4</c:v>
                </c:pt>
                <c:pt idx="7">
                  <c:v>654.8</c:v>
                </c:pt>
                <c:pt idx="8">
                  <c:v>662.0</c:v>
                </c:pt>
                <c:pt idx="9">
                  <c:v>669.1</c:v>
                </c:pt>
                <c:pt idx="10">
                  <c:v>676.0</c:v>
                </c:pt>
                <c:pt idx="11">
                  <c:v>682.8</c:v>
                </c:pt>
                <c:pt idx="12">
                  <c:v>688.4</c:v>
                </c:pt>
                <c:pt idx="13">
                  <c:v>692.7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700752"/>
        <c:axId val="1997703072"/>
      </c:scatterChart>
      <c:valAx>
        <c:axId val="199770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97703072"/>
        <c:crosses val="autoZero"/>
        <c:crossBetween val="midCat"/>
      </c:valAx>
      <c:valAx>
        <c:axId val="199770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9770075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" l="0.700000000000001" r="0.700000000000001" t="0.75000000000000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Shell Side; Density</a:t>
            </a:r>
            <a:r>
              <a:rPr lang="en-US" baseline="0"/>
              <a:t> Vs. T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'Temp. dependency'!$C$96</c:f>
              <c:strCache>
                <c:ptCount val="1"/>
                <c:pt idx="0">
                  <c:v>kg/m^3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</c:trendlineLbl>
          </c:trendline>
          <c:xVal>
            <c:numRef>
              <c:f>'Temp. dependency'!$B$97:$B$105</c:f>
              <c:numCache>
                <c:formatCode>General</c:formatCode>
                <c:ptCount val="9"/>
                <c:pt idx="0">
                  <c:v>189.0</c:v>
                </c:pt>
                <c:pt idx="1">
                  <c:v>195.0</c:v>
                </c:pt>
                <c:pt idx="2">
                  <c:v>201.0</c:v>
                </c:pt>
                <c:pt idx="3">
                  <c:v>207.0</c:v>
                </c:pt>
                <c:pt idx="4">
                  <c:v>213.0</c:v>
                </c:pt>
                <c:pt idx="5">
                  <c:v>219.0</c:v>
                </c:pt>
                <c:pt idx="6">
                  <c:v>225.0</c:v>
                </c:pt>
                <c:pt idx="7">
                  <c:v>229.0</c:v>
                </c:pt>
                <c:pt idx="8">
                  <c:v>234.0</c:v>
                </c:pt>
              </c:numCache>
            </c:numRef>
          </c:xVal>
          <c:yVal>
            <c:numRef>
              <c:f>'Temp. dependency'!$C$97:$C$105</c:f>
              <c:numCache>
                <c:formatCode>General</c:formatCode>
                <c:ptCount val="9"/>
                <c:pt idx="0">
                  <c:v>710.2</c:v>
                </c:pt>
                <c:pt idx="1">
                  <c:v>703.7</c:v>
                </c:pt>
                <c:pt idx="2">
                  <c:v>697.0</c:v>
                </c:pt>
                <c:pt idx="3">
                  <c:v>690.2</c:v>
                </c:pt>
                <c:pt idx="4">
                  <c:v>683.3</c:v>
                </c:pt>
                <c:pt idx="5">
                  <c:v>676.3</c:v>
                </c:pt>
                <c:pt idx="6">
                  <c:v>669.1</c:v>
                </c:pt>
                <c:pt idx="7">
                  <c:v>664.2</c:v>
                </c:pt>
                <c:pt idx="8">
                  <c:v>658.0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631920"/>
        <c:axId val="2035633968"/>
      </c:scatterChart>
      <c:valAx>
        <c:axId val="203563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633968"/>
        <c:crosses val="autoZero"/>
        <c:crossBetween val="midCat"/>
      </c:valAx>
      <c:valAx>
        <c:axId val="203563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6319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" l="0.700000000000001" r="0.700000000000001" t="0.75000000000000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Tube</a:t>
            </a:r>
            <a:r>
              <a:rPr lang="en-US" baseline="0"/>
              <a:t> Side; K Vs. T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'Temp. dependency'!$C$111:$C$112</c:f>
              <c:strCache>
                <c:ptCount val="2"/>
                <c:pt idx="0">
                  <c:v>k</c:v>
                </c:pt>
                <c:pt idx="1">
                  <c:v>W/(mK)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</c:trendlineLbl>
          </c:trendline>
          <c:xVal>
            <c:numRef>
              <c:f>'Temp. dependency'!$B$113:$B$126</c:f>
              <c:numCache>
                <c:formatCode>General</c:formatCode>
                <c:ptCount val="14"/>
                <c:pt idx="0">
                  <c:v>278.4</c:v>
                </c:pt>
                <c:pt idx="1">
                  <c:v>272.4</c:v>
                </c:pt>
                <c:pt idx="2">
                  <c:v>266.4</c:v>
                </c:pt>
                <c:pt idx="3">
                  <c:v>260.4</c:v>
                </c:pt>
                <c:pt idx="4">
                  <c:v>254.4</c:v>
                </c:pt>
                <c:pt idx="5">
                  <c:v>248.4</c:v>
                </c:pt>
                <c:pt idx="6">
                  <c:v>242.4</c:v>
                </c:pt>
                <c:pt idx="7">
                  <c:v>236.4</c:v>
                </c:pt>
                <c:pt idx="8">
                  <c:v>230.4</c:v>
                </c:pt>
                <c:pt idx="9">
                  <c:v>224.4</c:v>
                </c:pt>
                <c:pt idx="10">
                  <c:v>218.4</c:v>
                </c:pt>
                <c:pt idx="11">
                  <c:v>212.4</c:v>
                </c:pt>
                <c:pt idx="12">
                  <c:v>207.4</c:v>
                </c:pt>
                <c:pt idx="13">
                  <c:v>203.4</c:v>
                </c:pt>
              </c:numCache>
            </c:numRef>
          </c:xVal>
          <c:yVal>
            <c:numRef>
              <c:f>'Temp. dependency'!$C$113:$C$126</c:f>
              <c:numCache>
                <c:formatCode>General</c:formatCode>
                <c:ptCount val="14"/>
                <c:pt idx="0">
                  <c:v>0.0749</c:v>
                </c:pt>
                <c:pt idx="1">
                  <c:v>0.0752</c:v>
                </c:pt>
                <c:pt idx="2">
                  <c:v>0.0756</c:v>
                </c:pt>
                <c:pt idx="3">
                  <c:v>0.0759</c:v>
                </c:pt>
                <c:pt idx="4">
                  <c:v>0.0763</c:v>
                </c:pt>
                <c:pt idx="5">
                  <c:v>0.0766</c:v>
                </c:pt>
                <c:pt idx="6">
                  <c:v>0.077</c:v>
                </c:pt>
                <c:pt idx="7">
                  <c:v>0.0773</c:v>
                </c:pt>
                <c:pt idx="8">
                  <c:v>0.0777</c:v>
                </c:pt>
                <c:pt idx="9">
                  <c:v>0.078</c:v>
                </c:pt>
                <c:pt idx="10">
                  <c:v>0.0784</c:v>
                </c:pt>
                <c:pt idx="11">
                  <c:v>0.0787</c:v>
                </c:pt>
                <c:pt idx="12">
                  <c:v>0.079</c:v>
                </c:pt>
                <c:pt idx="13">
                  <c:v>0.0794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658288"/>
        <c:axId val="2035660608"/>
      </c:scatterChart>
      <c:valAx>
        <c:axId val="203565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660608"/>
        <c:crosses val="autoZero"/>
        <c:crossBetween val="midCat"/>
      </c:valAx>
      <c:valAx>
        <c:axId val="203566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65828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" l="0.700000000000001" r="0.700000000000001" t="0.75000000000000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Shell Side;</a:t>
            </a:r>
            <a:r>
              <a:rPr lang="en-US" baseline="0"/>
              <a:t> k Vs. T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'Temp. dependency'!$C$131:$C$132</c:f>
              <c:strCache>
                <c:ptCount val="2"/>
                <c:pt idx="0">
                  <c:v>k</c:v>
                </c:pt>
                <c:pt idx="1">
                  <c:v>W/(mK)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</c:trendlineLbl>
          </c:trendline>
          <c:xVal>
            <c:numRef>
              <c:f>'Temp. dependency'!$B$133:$B$141</c:f>
              <c:numCache>
                <c:formatCode>General</c:formatCode>
                <c:ptCount val="9"/>
                <c:pt idx="0">
                  <c:v>189.0</c:v>
                </c:pt>
                <c:pt idx="1">
                  <c:v>195.0</c:v>
                </c:pt>
                <c:pt idx="2">
                  <c:v>201.0</c:v>
                </c:pt>
                <c:pt idx="3">
                  <c:v>207.0</c:v>
                </c:pt>
                <c:pt idx="4">
                  <c:v>213.0</c:v>
                </c:pt>
                <c:pt idx="5">
                  <c:v>219.0</c:v>
                </c:pt>
                <c:pt idx="6">
                  <c:v>225.0</c:v>
                </c:pt>
                <c:pt idx="7">
                  <c:v>229.0</c:v>
                </c:pt>
                <c:pt idx="8">
                  <c:v>234.0</c:v>
                </c:pt>
              </c:numCache>
            </c:numRef>
          </c:xVal>
          <c:yVal>
            <c:numRef>
              <c:f>'Temp. dependency'!$C$133:$C$141</c:f>
              <c:numCache>
                <c:formatCode>General</c:formatCode>
                <c:ptCount val="9"/>
                <c:pt idx="0">
                  <c:v>0.1007</c:v>
                </c:pt>
                <c:pt idx="1">
                  <c:v>0.0991</c:v>
                </c:pt>
                <c:pt idx="2">
                  <c:v>0.0975</c:v>
                </c:pt>
                <c:pt idx="3">
                  <c:v>0.0958</c:v>
                </c:pt>
                <c:pt idx="4">
                  <c:v>0.0941</c:v>
                </c:pt>
                <c:pt idx="5">
                  <c:v>0.0924</c:v>
                </c:pt>
                <c:pt idx="6">
                  <c:v>0.0907</c:v>
                </c:pt>
                <c:pt idx="7">
                  <c:v>0.0895</c:v>
                </c:pt>
                <c:pt idx="8">
                  <c:v>0.088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683136"/>
        <c:axId val="2035685456"/>
      </c:scatterChart>
      <c:valAx>
        <c:axId val="203568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685456"/>
        <c:crosses val="autoZero"/>
        <c:crossBetween val="midCat"/>
      </c:valAx>
      <c:valAx>
        <c:axId val="203568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68313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" l="0.700000000000001" r="0.700000000000001" t="0.75000000000000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Hot Tube; Cp Vs.</a:t>
            </a:r>
            <a:r>
              <a:rPr lang="en-US" baseline="0"/>
              <a:t> T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946631671042"/>
          <c:y val="0.217951662292213"/>
          <c:w val="0.531435258092738"/>
          <c:h val="0.654822105570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'Temp. dependency'!$C$42</c:f>
              <c:strCache>
                <c:ptCount val="1"/>
                <c:pt idx="0">
                  <c:v>kg/m·s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'Temp. dependency'!$B$43:$B$56</c:f>
              <c:numCache>
                <c:formatCode>General</c:formatCode>
                <c:ptCount val="14"/>
                <c:pt idx="0">
                  <c:v>278.4</c:v>
                </c:pt>
                <c:pt idx="1">
                  <c:v>272.4</c:v>
                </c:pt>
                <c:pt idx="2">
                  <c:v>266.4</c:v>
                </c:pt>
                <c:pt idx="3">
                  <c:v>260.4</c:v>
                </c:pt>
                <c:pt idx="4">
                  <c:v>254.4</c:v>
                </c:pt>
                <c:pt idx="5">
                  <c:v>248.4</c:v>
                </c:pt>
                <c:pt idx="6">
                  <c:v>242.4</c:v>
                </c:pt>
                <c:pt idx="7">
                  <c:v>236.4</c:v>
                </c:pt>
                <c:pt idx="8">
                  <c:v>230.4</c:v>
                </c:pt>
                <c:pt idx="9">
                  <c:v>224.4</c:v>
                </c:pt>
                <c:pt idx="10">
                  <c:v>218.4</c:v>
                </c:pt>
                <c:pt idx="11">
                  <c:v>212.4</c:v>
                </c:pt>
                <c:pt idx="12">
                  <c:v>207.4</c:v>
                </c:pt>
                <c:pt idx="13">
                  <c:v>203.4</c:v>
                </c:pt>
              </c:numCache>
            </c:numRef>
          </c:xVal>
          <c:yVal>
            <c:numRef>
              <c:f>'Temp. dependency'!$C$43:$C$56</c:f>
              <c:numCache>
                <c:formatCode>General</c:formatCode>
                <c:ptCount val="14"/>
                <c:pt idx="0">
                  <c:v>9.3E-5</c:v>
                </c:pt>
                <c:pt idx="1">
                  <c:v>9.8E-5</c:v>
                </c:pt>
                <c:pt idx="2">
                  <c:v>0.000102</c:v>
                </c:pt>
                <c:pt idx="3">
                  <c:v>0.000107</c:v>
                </c:pt>
                <c:pt idx="4">
                  <c:v>0.000112</c:v>
                </c:pt>
                <c:pt idx="5">
                  <c:v>0.000117</c:v>
                </c:pt>
                <c:pt idx="6">
                  <c:v>0.000122</c:v>
                </c:pt>
                <c:pt idx="7">
                  <c:v>0.000127</c:v>
                </c:pt>
                <c:pt idx="8">
                  <c:v>0.000133</c:v>
                </c:pt>
                <c:pt idx="9">
                  <c:v>0.000138</c:v>
                </c:pt>
                <c:pt idx="10">
                  <c:v>0.000144</c:v>
                </c:pt>
                <c:pt idx="11">
                  <c:v>0.00015</c:v>
                </c:pt>
                <c:pt idx="12">
                  <c:v>0.000156</c:v>
                </c:pt>
                <c:pt idx="13">
                  <c:v>0.00016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424192"/>
        <c:axId val="2035822560"/>
      </c:scatterChart>
      <c:valAx>
        <c:axId val="212242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5822560"/>
        <c:crosses val="autoZero"/>
        <c:crossBetween val="midCat"/>
      </c:valAx>
      <c:valAx>
        <c:axId val="203582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424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Contents!A1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1" Type="http://schemas.openxmlformats.org/officeDocument/2006/relationships/hyperlink" Target="#'Mechanical Design'!A1"/><Relationship Id="rId12" Type="http://schemas.openxmlformats.org/officeDocument/2006/relationships/image" Target="../media/image8.png"/><Relationship Id="rId13" Type="http://schemas.openxmlformats.org/officeDocument/2006/relationships/hyperlink" Target="#Properties!A1"/><Relationship Id="rId14" Type="http://schemas.openxmlformats.org/officeDocument/2006/relationships/image" Target="../media/image9.png"/><Relationship Id="rId15" Type="http://schemas.openxmlformats.org/officeDocument/2006/relationships/hyperlink" Target="#'Tube Side'!A1"/><Relationship Id="rId16" Type="http://schemas.openxmlformats.org/officeDocument/2006/relationships/image" Target="../media/image10.png"/><Relationship Id="rId1" Type="http://schemas.openxmlformats.org/officeDocument/2006/relationships/hyperlink" Target="#Results!A1"/><Relationship Id="rId2" Type="http://schemas.openxmlformats.org/officeDocument/2006/relationships/image" Target="../media/image3.png"/><Relationship Id="rId3" Type="http://schemas.openxmlformats.org/officeDocument/2006/relationships/hyperlink" Target="#'TEMA Datasheet'!A1"/><Relationship Id="rId4" Type="http://schemas.openxmlformats.org/officeDocument/2006/relationships/image" Target="../media/image4.png"/><Relationship Id="rId5" Type="http://schemas.openxmlformats.org/officeDocument/2006/relationships/hyperlink" Target="#'Cost &amp; Weight Estimation'!A1"/><Relationship Id="rId6" Type="http://schemas.openxmlformats.org/officeDocument/2006/relationships/image" Target="../media/image5.png"/><Relationship Id="rId7" Type="http://schemas.openxmlformats.org/officeDocument/2006/relationships/hyperlink" Target="#Layout!A1"/><Relationship Id="rId8" Type="http://schemas.openxmlformats.org/officeDocument/2006/relationships/image" Target="../media/image6.png"/><Relationship Id="rId9" Type="http://schemas.openxmlformats.org/officeDocument/2006/relationships/hyperlink" Target="#'Shell Side'!A1"/><Relationship Id="rId10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Relationship Id="rId2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Relationship Id="rId2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hyperlink" Target="#Contents!A1"/><Relationship Id="rId9" Type="http://schemas.openxmlformats.org/officeDocument/2006/relationships/image" Target="../media/image11.png"/><Relationship Id="rId10" Type="http://schemas.openxmlformats.org/officeDocument/2006/relationships/chart" Target="../charts/chart8.xml"/><Relationship Id="rId11" Type="http://schemas.openxmlformats.org/officeDocument/2006/relationships/image" Target="../media/image2.png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Relationship Id="rId2" Type="http://schemas.openxmlformats.org/officeDocument/2006/relationships/hyperlink" Target="#Contents!A1"/><Relationship Id="rId3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Relationship Id="rId2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Relationship Id="rId2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Relationship Id="rId2" Type="http://schemas.openxmlformats.org/officeDocument/2006/relationships/hyperlink" Target="#Contents!A1"/><Relationship Id="rId3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jpeg"/><Relationship Id="rId4" Type="http://schemas.openxmlformats.org/officeDocument/2006/relationships/image" Target="../media/image18.jpeg"/><Relationship Id="rId5" Type="http://schemas.openxmlformats.org/officeDocument/2006/relationships/hyperlink" Target="#Contents!A1"/><Relationship Id="rId6" Type="http://schemas.openxmlformats.org/officeDocument/2006/relationships/image" Target="../media/image2.png"/><Relationship Id="rId1" Type="http://schemas.openxmlformats.org/officeDocument/2006/relationships/image" Target="../media/image15.emf"/><Relationship Id="rId2" Type="http://schemas.openxmlformats.org/officeDocument/2006/relationships/image" Target="../media/image16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jpeg"/><Relationship Id="rId4" Type="http://schemas.openxmlformats.org/officeDocument/2006/relationships/hyperlink" Target="#Contents!A1"/><Relationship Id="rId5" Type="http://schemas.openxmlformats.org/officeDocument/2006/relationships/image" Target="../media/image2.png"/><Relationship Id="rId1" Type="http://schemas.openxmlformats.org/officeDocument/2006/relationships/image" Target="../media/image19.jpeg"/><Relationship Id="rId2" Type="http://schemas.openxmlformats.org/officeDocument/2006/relationships/image" Target="../media/image2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Relationship Id="rId2" Type="http://schemas.openxmlformats.org/officeDocument/2006/relationships/hyperlink" Target="#Contents!A1"/><Relationship Id="rId3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Relationship Id="rId2" Type="http://schemas.openxmlformats.org/officeDocument/2006/relationships/image" Target="../media/image2.png"/><Relationship Id="rId3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1476375</xdr:colOff>
      <xdr:row>5</xdr:row>
      <xdr:rowOff>104775</xdr:rowOff>
    </xdr:from>
    <xdr:to>
      <xdr:col>6</xdr:col>
      <xdr:colOff>1085850</xdr:colOff>
      <xdr:row>11</xdr:row>
      <xdr:rowOff>152400</xdr:rowOff>
    </xdr:to>
    <xdr:pic>
      <xdr:nvPicPr>
        <xdr:cNvPr id="2" name="Picture 1" descr="user-femal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34000" y="1466850"/>
          <a:ext cx="1219200" cy="12192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7</xdr:col>
      <xdr:colOff>123825</xdr:colOff>
      <xdr:row>3</xdr:row>
      <xdr:rowOff>85725</xdr:rowOff>
    </xdr:from>
    <xdr:to>
      <xdr:col>7</xdr:col>
      <xdr:colOff>542925</xdr:colOff>
      <xdr:row>3</xdr:row>
      <xdr:rowOff>504825</xdr:rowOff>
    </xdr:to>
    <xdr:pic>
      <xdr:nvPicPr>
        <xdr:cNvPr id="3" name="Picture 2" descr="home.png">
          <a:hlinkClick xmlns:r="http://schemas.openxmlformats.org/officeDocument/2006/relationships" r:id="rId2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677025" y="666750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92850</xdr:colOff>
      <xdr:row>10</xdr:row>
      <xdr:rowOff>64275</xdr:rowOff>
    </xdr:from>
    <xdr:to>
      <xdr:col>5</xdr:col>
      <xdr:colOff>390525</xdr:colOff>
      <xdr:row>15</xdr:row>
      <xdr:rowOff>19050</xdr:rowOff>
    </xdr:to>
    <xdr:pic>
      <xdr:nvPicPr>
        <xdr:cNvPr id="3" name="Picture 2" descr="bulb.png">
          <a:hlinkClick xmlns:r="http://schemas.openxmlformats.org/officeDocument/2006/relationships" r:id="rId1" tooltip="Results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31250" y="1978800"/>
          <a:ext cx="907275" cy="90727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2</xdr:col>
      <xdr:colOff>230925</xdr:colOff>
      <xdr:row>3</xdr:row>
      <xdr:rowOff>183300</xdr:rowOff>
    </xdr:from>
    <xdr:to>
      <xdr:col>3</xdr:col>
      <xdr:colOff>476250</xdr:colOff>
      <xdr:row>8</xdr:row>
      <xdr:rowOff>85725</xdr:rowOff>
    </xdr:to>
    <xdr:pic>
      <xdr:nvPicPr>
        <xdr:cNvPr id="5" name="Picture 4" descr="delicious.png">
          <a:hlinkClick xmlns:r="http://schemas.openxmlformats.org/officeDocument/2006/relationships" r:id="rId3" tooltip="TEMA Datasheet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50125" y="764325"/>
          <a:ext cx="854925" cy="8549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</xdr:col>
      <xdr:colOff>387975</xdr:colOff>
      <xdr:row>10</xdr:row>
      <xdr:rowOff>149850</xdr:rowOff>
    </xdr:from>
    <xdr:to>
      <xdr:col>3</xdr:col>
      <xdr:colOff>28575</xdr:colOff>
      <xdr:row>15</xdr:row>
      <xdr:rowOff>57150</xdr:rowOff>
    </xdr:to>
    <xdr:pic>
      <xdr:nvPicPr>
        <xdr:cNvPr id="11" name="Picture 10" descr="money.png">
          <a:hlinkClick xmlns:r="http://schemas.openxmlformats.org/officeDocument/2006/relationships" r:id="rId5" tooltip="Cost &amp; Weight Estimation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97575" y="2054850"/>
          <a:ext cx="859800" cy="8598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6</xdr:col>
      <xdr:colOff>459376</xdr:colOff>
      <xdr:row>7</xdr:row>
      <xdr:rowOff>40276</xdr:rowOff>
    </xdr:from>
    <xdr:to>
      <xdr:col>7</xdr:col>
      <xdr:colOff>600075</xdr:colOff>
      <xdr:row>11</xdr:row>
      <xdr:rowOff>28575</xdr:rowOff>
    </xdr:to>
    <xdr:pic>
      <xdr:nvPicPr>
        <xdr:cNvPr id="13" name="Picture 12" descr="pencil.png">
          <a:hlinkClick xmlns:r="http://schemas.openxmlformats.org/officeDocument/2006/relationships" r:id="rId7" tooltip="Layout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4116976" y="1373776"/>
          <a:ext cx="750299" cy="75029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4</xdr:col>
      <xdr:colOff>530775</xdr:colOff>
      <xdr:row>18</xdr:row>
      <xdr:rowOff>83100</xdr:rowOff>
    </xdr:from>
    <xdr:to>
      <xdr:col>6</xdr:col>
      <xdr:colOff>123825</xdr:colOff>
      <xdr:row>22</xdr:row>
      <xdr:rowOff>133350</xdr:rowOff>
    </xdr:to>
    <xdr:pic>
      <xdr:nvPicPr>
        <xdr:cNvPr id="15" name="Picture 14" descr="rss.png">
          <a:hlinkClick xmlns:r="http://schemas.openxmlformats.org/officeDocument/2006/relationships" r:id="rId9" tooltip="Shell-Side Calculations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69175" y="3512100"/>
          <a:ext cx="812250" cy="8122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6</xdr:col>
      <xdr:colOff>373576</xdr:colOff>
      <xdr:row>13</xdr:row>
      <xdr:rowOff>135451</xdr:rowOff>
    </xdr:from>
    <xdr:to>
      <xdr:col>7</xdr:col>
      <xdr:colOff>561976</xdr:colOff>
      <xdr:row>17</xdr:row>
      <xdr:rowOff>171451</xdr:rowOff>
    </xdr:to>
    <xdr:pic>
      <xdr:nvPicPr>
        <xdr:cNvPr id="17" name="Picture 16" descr="settings.png">
          <a:hlinkClick xmlns:r="http://schemas.openxmlformats.org/officeDocument/2006/relationships" r:id="rId11" tooltip="Mechanical Design"/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4031176" y="2611951"/>
          <a:ext cx="798000" cy="7980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4</xdr:col>
      <xdr:colOff>571200</xdr:colOff>
      <xdr:row>3</xdr:row>
      <xdr:rowOff>9525</xdr:rowOff>
    </xdr:from>
    <xdr:to>
      <xdr:col>6</xdr:col>
      <xdr:colOff>171150</xdr:colOff>
      <xdr:row>7</xdr:row>
      <xdr:rowOff>66675</xdr:rowOff>
    </xdr:to>
    <xdr:pic>
      <xdr:nvPicPr>
        <xdr:cNvPr id="18" name="Picture 17" descr="shopping-cart.png">
          <a:hlinkClick xmlns:r="http://schemas.openxmlformats.org/officeDocument/2006/relationships" r:id="rId13" tooltip="Properties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09600" y="590550"/>
          <a:ext cx="819150" cy="8191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2</xdr:col>
      <xdr:colOff>368775</xdr:colOff>
      <xdr:row>17</xdr:row>
      <xdr:rowOff>102075</xdr:rowOff>
    </xdr:from>
    <xdr:to>
      <xdr:col>3</xdr:col>
      <xdr:colOff>590550</xdr:colOff>
      <xdr:row>21</xdr:row>
      <xdr:rowOff>171450</xdr:rowOff>
    </xdr:to>
    <xdr:pic>
      <xdr:nvPicPr>
        <xdr:cNvPr id="19" name="Picture 18" descr="stumble-upon.png">
          <a:hlinkClick xmlns:r="http://schemas.openxmlformats.org/officeDocument/2006/relationships" r:id="rId15" tooltip="Tube-Side Calculations"/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587975" y="3340575"/>
          <a:ext cx="831375" cy="83137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247650</xdr:colOff>
      <xdr:row>4</xdr:row>
      <xdr:rowOff>38100</xdr:rowOff>
    </xdr:from>
    <xdr:to>
      <xdr:col>9</xdr:col>
      <xdr:colOff>57150</xdr:colOff>
      <xdr:row>6</xdr:row>
      <xdr:rowOff>76200</xdr:rowOff>
    </xdr:to>
    <xdr:pic>
      <xdr:nvPicPr>
        <xdr:cNvPr id="3" name="Picture 2" descr="home.png">
          <a:hlinkClick xmlns:r="http://schemas.openxmlformats.org/officeDocument/2006/relationships" r:id="rId1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24450" y="800100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152400</xdr:colOff>
      <xdr:row>3</xdr:row>
      <xdr:rowOff>19050</xdr:rowOff>
    </xdr:from>
    <xdr:to>
      <xdr:col>12</xdr:col>
      <xdr:colOff>571500</xdr:colOff>
      <xdr:row>5</xdr:row>
      <xdr:rowOff>47625</xdr:rowOff>
    </xdr:to>
    <xdr:pic>
      <xdr:nvPicPr>
        <xdr:cNvPr id="3" name="Picture 2" descr="home.png">
          <a:hlinkClick xmlns:r="http://schemas.openxmlformats.org/officeDocument/2006/relationships" r:id="rId1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67600" y="590550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23</xdr:row>
      <xdr:rowOff>133350</xdr:rowOff>
    </xdr:from>
    <xdr:to>
      <xdr:col>10</xdr:col>
      <xdr:colOff>495300</xdr:colOff>
      <xdr:row>37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3</xdr:row>
      <xdr:rowOff>9525</xdr:rowOff>
    </xdr:from>
    <xdr:to>
      <xdr:col>11</xdr:col>
      <xdr:colOff>19050</xdr:colOff>
      <xdr:row>16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219075</xdr:colOff>
      <xdr:row>57</xdr:row>
      <xdr:rowOff>190500</xdr:rowOff>
    </xdr:from>
    <xdr:to>
      <xdr:col>12</xdr:col>
      <xdr:colOff>19050</xdr:colOff>
      <xdr:row>71</xdr:row>
      <xdr:rowOff>152400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228600</xdr:colOff>
      <xdr:row>72</xdr:row>
      <xdr:rowOff>190500</xdr:rowOff>
    </xdr:from>
    <xdr:to>
      <xdr:col>10</xdr:col>
      <xdr:colOff>533400</xdr:colOff>
      <xdr:row>86</xdr:row>
      <xdr:rowOff>133350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219075</xdr:colOff>
      <xdr:row>92</xdr:row>
      <xdr:rowOff>190500</xdr:rowOff>
    </xdr:from>
    <xdr:to>
      <xdr:col>10</xdr:col>
      <xdr:colOff>523875</xdr:colOff>
      <xdr:row>106</xdr:row>
      <xdr:rowOff>142875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228600</xdr:colOff>
      <xdr:row>108</xdr:row>
      <xdr:rowOff>171450</xdr:rowOff>
    </xdr:from>
    <xdr:to>
      <xdr:col>10</xdr:col>
      <xdr:colOff>533400</xdr:colOff>
      <xdr:row>122</xdr:row>
      <xdr:rowOff>114300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200025</xdr:colOff>
      <xdr:row>129</xdr:row>
      <xdr:rowOff>0</xdr:rowOff>
    </xdr:from>
    <xdr:to>
      <xdr:col>10</xdr:col>
      <xdr:colOff>504825</xdr:colOff>
      <xdr:row>142</xdr:row>
      <xdr:rowOff>152400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238125</xdr:colOff>
      <xdr:row>3</xdr:row>
      <xdr:rowOff>123825</xdr:rowOff>
    </xdr:from>
    <xdr:to>
      <xdr:col>14</xdr:col>
      <xdr:colOff>228600</xdr:colOff>
      <xdr:row>8</xdr:row>
      <xdr:rowOff>28575</xdr:rowOff>
    </xdr:to>
    <xdr:sp macro="" textlink="">
      <xdr:nvSpPr>
        <xdr:cNvPr id="14" name="TextBox 13"/>
        <xdr:cNvSpPr txBox="1"/>
      </xdr:nvSpPr>
      <xdr:spPr>
        <a:xfrm>
          <a:off x="6943725" y="704850"/>
          <a:ext cx="1819275" cy="904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Cp</a:t>
          </a:r>
          <a:r>
            <a:rPr lang="en-US" sz="1100" baseline="0"/>
            <a:t> (kJ/kg.K) = a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*T(°C) </a:t>
          </a:r>
          <a:r>
            <a:rPr lang="en-US" sz="1100" baseline="0"/>
            <a:t>+ b</a:t>
          </a:r>
        </a:p>
        <a:p>
          <a:r>
            <a:rPr lang="en-US" sz="1100" baseline="0"/>
            <a:t>a = 0.0064</a:t>
          </a:r>
        </a:p>
        <a:p>
          <a:r>
            <a:rPr lang="en-US" sz="1100" baseline="0"/>
            <a:t>b = 1.0871</a:t>
          </a:r>
        </a:p>
      </xdr:txBody>
    </xdr:sp>
    <xdr:clientData/>
  </xdr:twoCellAnchor>
  <xdr:twoCellAnchor>
    <xdr:from>
      <xdr:col>11</xdr:col>
      <xdr:colOff>114300</xdr:colOff>
      <xdr:row>23</xdr:row>
      <xdr:rowOff>171450</xdr:rowOff>
    </xdr:from>
    <xdr:to>
      <xdr:col>14</xdr:col>
      <xdr:colOff>104775</xdr:colOff>
      <xdr:row>28</xdr:row>
      <xdr:rowOff>76200</xdr:rowOff>
    </xdr:to>
    <xdr:sp macro="" textlink="">
      <xdr:nvSpPr>
        <xdr:cNvPr id="15" name="TextBox 14"/>
        <xdr:cNvSpPr txBox="1"/>
      </xdr:nvSpPr>
      <xdr:spPr>
        <a:xfrm>
          <a:off x="6819900" y="4724400"/>
          <a:ext cx="1819275" cy="904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Cp</a:t>
          </a:r>
          <a:r>
            <a:rPr lang="en-US" sz="1100" baseline="0"/>
            <a:t> (kJ/kg.K) = a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*T(°C) </a:t>
          </a:r>
          <a:r>
            <a:rPr lang="en-US" sz="1100" baseline="0"/>
            <a:t>+ b</a:t>
          </a:r>
        </a:p>
        <a:p>
          <a:r>
            <a:rPr lang="en-US" sz="1100" baseline="0"/>
            <a:t>a = 0.005</a:t>
          </a:r>
        </a:p>
        <a:p>
          <a:r>
            <a:rPr lang="en-US" sz="1100" baseline="0"/>
            <a:t>b = 1.343</a:t>
          </a:r>
        </a:p>
        <a:p>
          <a:endParaRPr lang="en-US" sz="1100" baseline="0"/>
        </a:p>
      </xdr:txBody>
    </xdr:sp>
    <xdr:clientData/>
  </xdr:twoCellAnchor>
  <xdr:twoCellAnchor>
    <xdr:from>
      <xdr:col>13</xdr:col>
      <xdr:colOff>0</xdr:colOff>
      <xdr:row>40</xdr:row>
      <xdr:rowOff>0</xdr:rowOff>
    </xdr:from>
    <xdr:to>
      <xdr:col>16</xdr:col>
      <xdr:colOff>390525</xdr:colOff>
      <xdr:row>44</xdr:row>
      <xdr:rowOff>104775</xdr:rowOff>
    </xdr:to>
    <xdr:sp macro="" textlink="">
      <xdr:nvSpPr>
        <xdr:cNvPr id="17" name="TextBox 16"/>
        <xdr:cNvSpPr txBox="1"/>
      </xdr:nvSpPr>
      <xdr:spPr>
        <a:xfrm>
          <a:off x="8324850" y="7934325"/>
          <a:ext cx="2343150" cy="904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l-GR" sz="1100"/>
            <a:t>μ</a:t>
          </a:r>
          <a:r>
            <a:rPr lang="en-US" sz="1100" baseline="0"/>
            <a:t> (kg/m.s) = a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*T(°C) </a:t>
          </a:r>
          <a:r>
            <a:rPr lang="en-US" sz="1100" baseline="0"/>
            <a:t>+ b</a:t>
          </a:r>
        </a:p>
        <a:p>
          <a:r>
            <a:rPr lang="en-US" sz="1100" baseline="0"/>
            <a:t>a = -9E-07</a:t>
          </a:r>
        </a:p>
        <a:p>
          <a:r>
            <a:rPr lang="en-US" sz="1100" baseline="0"/>
            <a:t>b = 0.0003</a:t>
          </a:r>
        </a:p>
      </xdr:txBody>
    </xdr:sp>
    <xdr:clientData/>
  </xdr:twoCellAnchor>
  <xdr:twoCellAnchor>
    <xdr:from>
      <xdr:col>11</xdr:col>
      <xdr:colOff>419100</xdr:colOff>
      <xdr:row>109</xdr:row>
      <xdr:rowOff>9525</xdr:rowOff>
    </xdr:from>
    <xdr:to>
      <xdr:col>14</xdr:col>
      <xdr:colOff>533400</xdr:colOff>
      <xdr:row>113</xdr:row>
      <xdr:rowOff>114300</xdr:rowOff>
    </xdr:to>
    <xdr:sp macro="" textlink="">
      <xdr:nvSpPr>
        <xdr:cNvPr id="18" name="TextBox 17"/>
        <xdr:cNvSpPr txBox="1"/>
      </xdr:nvSpPr>
      <xdr:spPr>
        <a:xfrm>
          <a:off x="7124700" y="21669375"/>
          <a:ext cx="2466975" cy="904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k (W/m.k)</a:t>
          </a:r>
          <a:r>
            <a:rPr lang="en-US" sz="1100" baseline="0"/>
            <a:t>= a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*T(°C) </a:t>
          </a:r>
          <a:r>
            <a:rPr lang="en-US" sz="1100" baseline="0"/>
            <a:t>+ b</a:t>
          </a:r>
        </a:p>
        <a:p>
          <a:r>
            <a:rPr lang="en-US" sz="1100" baseline="0"/>
            <a:t>a = -6E-05</a:t>
          </a:r>
        </a:p>
        <a:p>
          <a:r>
            <a:rPr lang="en-US" sz="1100" baseline="0"/>
            <a:t>b = 0.0.0912</a:t>
          </a:r>
        </a:p>
      </xdr:txBody>
    </xdr:sp>
    <xdr:clientData/>
  </xdr:twoCellAnchor>
  <xdr:twoCellAnchor editAs="oneCell">
    <xdr:from>
      <xdr:col>14</xdr:col>
      <xdr:colOff>333375</xdr:colOff>
      <xdr:row>4</xdr:row>
      <xdr:rowOff>142875</xdr:rowOff>
    </xdr:from>
    <xdr:to>
      <xdr:col>14</xdr:col>
      <xdr:colOff>695325</xdr:colOff>
      <xdr:row>6</xdr:row>
      <xdr:rowOff>123825</xdr:rowOff>
    </xdr:to>
    <xdr:pic>
      <xdr:nvPicPr>
        <xdr:cNvPr id="16" name="Picture 15" descr="arrow.png">
          <a:hlinkClick xmlns:r="http://schemas.openxmlformats.org/officeDocument/2006/relationships" r:id="rId8" tooltip="First Page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9839325" y="914400"/>
          <a:ext cx="361950" cy="3619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4</xdr:col>
      <xdr:colOff>438150</xdr:colOff>
      <xdr:row>39</xdr:row>
      <xdr:rowOff>180975</xdr:rowOff>
    </xdr:from>
    <xdr:to>
      <xdr:col>12</xdr:col>
      <xdr:colOff>133350</xdr:colOff>
      <xdr:row>54</xdr:row>
      <xdr:rowOff>57150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209550</xdr:colOff>
      <xdr:row>24</xdr:row>
      <xdr:rowOff>0</xdr:rowOff>
    </xdr:from>
    <xdr:to>
      <xdr:col>14</xdr:col>
      <xdr:colOff>628650</xdr:colOff>
      <xdr:row>26</xdr:row>
      <xdr:rowOff>28575</xdr:rowOff>
    </xdr:to>
    <xdr:pic>
      <xdr:nvPicPr>
        <xdr:cNvPr id="19" name="Picture 18" descr="home.png">
          <a:hlinkClick xmlns:r="http://schemas.openxmlformats.org/officeDocument/2006/relationships" r:id="rId8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9715500" y="4581525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1123950</xdr:colOff>
      <xdr:row>7</xdr:row>
      <xdr:rowOff>76200</xdr:rowOff>
    </xdr:from>
    <xdr:to>
      <xdr:col>8</xdr:col>
      <xdr:colOff>104775</xdr:colOff>
      <xdr:row>11</xdr:row>
      <xdr:rowOff>47625</xdr:rowOff>
    </xdr:to>
    <xdr:pic macro="[0]!ucalc">
      <xdr:nvPicPr>
        <xdr:cNvPr id="3" name="Picture 2" descr="search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76975" y="1419225"/>
          <a:ext cx="742950" cy="7429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5</xdr:col>
      <xdr:colOff>119511</xdr:colOff>
      <xdr:row>8</xdr:row>
      <xdr:rowOff>76739</xdr:rowOff>
    </xdr:from>
    <xdr:ext cx="1818383" cy="405432"/>
    <xdr:sp macro="" textlink="">
      <xdr:nvSpPr>
        <xdr:cNvPr id="5" name="Rectangle 4"/>
        <xdr:cNvSpPr/>
      </xdr:nvSpPr>
      <xdr:spPr>
        <a:xfrm>
          <a:off x="3500886" y="1610264"/>
          <a:ext cx="1818383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Then Push It --&gt;</a:t>
          </a:r>
        </a:p>
      </xdr:txBody>
    </xdr:sp>
    <xdr:clientData/>
  </xdr:oneCellAnchor>
  <xdr:oneCellAnchor>
    <xdr:from>
      <xdr:col>7</xdr:col>
      <xdr:colOff>295276</xdr:colOff>
      <xdr:row>2</xdr:row>
      <xdr:rowOff>28575</xdr:rowOff>
    </xdr:from>
    <xdr:ext cx="1334746" cy="405432"/>
    <xdr:sp macro="" textlink="">
      <xdr:nvSpPr>
        <xdr:cNvPr id="6" name="Rectangle 5"/>
        <xdr:cNvSpPr/>
      </xdr:nvSpPr>
      <xdr:spPr>
        <a:xfrm>
          <a:off x="5753101" y="409575"/>
          <a:ext cx="1334746" cy="40543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oneCellAnchor>
    <xdr:from>
      <xdr:col>6</xdr:col>
      <xdr:colOff>68994</xdr:colOff>
      <xdr:row>2</xdr:row>
      <xdr:rowOff>38100</xdr:rowOff>
    </xdr:from>
    <xdr:ext cx="2520755" cy="405432"/>
    <xdr:sp macro="" textlink="">
      <xdr:nvSpPr>
        <xdr:cNvPr id="7" name="Rectangle 6"/>
        <xdr:cNvSpPr/>
      </xdr:nvSpPr>
      <xdr:spPr>
        <a:xfrm>
          <a:off x="4336194" y="419100"/>
          <a:ext cx="2520755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Write</a:t>
          </a:r>
          <a:r>
            <a:rPr lang="en-US" sz="20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U_Guess Below:</a:t>
          </a:r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oneCellAnchor>
    <xdr:from>
      <xdr:col>9</xdr:col>
      <xdr:colOff>26380</xdr:colOff>
      <xdr:row>13</xdr:row>
      <xdr:rowOff>76200</xdr:rowOff>
    </xdr:from>
    <xdr:ext cx="1243161" cy="405432"/>
    <xdr:sp macro="" textlink="">
      <xdr:nvSpPr>
        <xdr:cNvPr id="8" name="Rectangle 7"/>
        <xdr:cNvSpPr/>
      </xdr:nvSpPr>
      <xdr:spPr>
        <a:xfrm>
          <a:off x="6741505" y="2571750"/>
          <a:ext cx="1243161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&lt;--</a:t>
          </a:r>
          <a:r>
            <a:rPr lang="en-US" sz="20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Final U</a:t>
          </a:r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14</xdr:col>
      <xdr:colOff>114300</xdr:colOff>
      <xdr:row>3</xdr:row>
      <xdr:rowOff>9525</xdr:rowOff>
    </xdr:from>
    <xdr:to>
      <xdr:col>14</xdr:col>
      <xdr:colOff>533400</xdr:colOff>
      <xdr:row>5</xdr:row>
      <xdr:rowOff>38100</xdr:rowOff>
    </xdr:to>
    <xdr:pic>
      <xdr:nvPicPr>
        <xdr:cNvPr id="9" name="Picture 8" descr="home.png">
          <a:hlinkClick xmlns:r="http://schemas.openxmlformats.org/officeDocument/2006/relationships" r:id="rId2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487025" y="581025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85725</xdr:colOff>
      <xdr:row>2</xdr:row>
      <xdr:rowOff>0</xdr:rowOff>
    </xdr:from>
    <xdr:to>
      <xdr:col>13</xdr:col>
      <xdr:colOff>504825</xdr:colOff>
      <xdr:row>4</xdr:row>
      <xdr:rowOff>19050</xdr:rowOff>
    </xdr:to>
    <xdr:pic>
      <xdr:nvPicPr>
        <xdr:cNvPr id="3" name="Picture 2" descr="home.png">
          <a:hlinkClick xmlns:r="http://schemas.openxmlformats.org/officeDocument/2006/relationships" r:id="rId1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858375" y="400050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0</xdr:rowOff>
    </xdr:from>
    <xdr:to>
      <xdr:col>13</xdr:col>
      <xdr:colOff>533400</xdr:colOff>
      <xdr:row>4</xdr:row>
      <xdr:rowOff>28575</xdr:rowOff>
    </xdr:to>
    <xdr:pic>
      <xdr:nvPicPr>
        <xdr:cNvPr id="3" name="Picture 2" descr="home.png">
          <a:hlinkClick xmlns:r="http://schemas.openxmlformats.org/officeDocument/2006/relationships" r:id="rId1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020175" y="381000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52</xdr:row>
      <xdr:rowOff>180975</xdr:rowOff>
    </xdr:from>
    <xdr:to>
      <xdr:col>3</xdr:col>
      <xdr:colOff>523875</xdr:colOff>
      <xdr:row>62</xdr:row>
      <xdr:rowOff>66675</xdr:rowOff>
    </xdr:to>
    <xdr:pic>
      <xdr:nvPicPr>
        <xdr:cNvPr id="2" name="Picture 1" descr="Welding-Neck Flange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7675" y="10182225"/>
          <a:ext cx="2600325" cy="18288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13</xdr:col>
      <xdr:colOff>38100</xdr:colOff>
      <xdr:row>1</xdr:row>
      <xdr:rowOff>0</xdr:rowOff>
    </xdr:from>
    <xdr:to>
      <xdr:col>13</xdr:col>
      <xdr:colOff>457200</xdr:colOff>
      <xdr:row>3</xdr:row>
      <xdr:rowOff>28575</xdr:rowOff>
    </xdr:to>
    <xdr:pic>
      <xdr:nvPicPr>
        <xdr:cNvPr id="4" name="Picture 3" descr="home.png">
          <a:hlinkClick xmlns:r="http://schemas.openxmlformats.org/officeDocument/2006/relationships" r:id="rId2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153775" y="190500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1</xdr:row>
      <xdr:rowOff>76200</xdr:rowOff>
    </xdr:from>
    <xdr:to>
      <xdr:col>3</xdr:col>
      <xdr:colOff>523875</xdr:colOff>
      <xdr:row>10</xdr:row>
      <xdr:rowOff>152400</xdr:rowOff>
    </xdr:to>
    <xdr:pic>
      <xdr:nvPicPr>
        <xdr:cNvPr id="1331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2450" y="266700"/>
          <a:ext cx="1781175" cy="17907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5</xdr:col>
      <xdr:colOff>276225</xdr:colOff>
      <xdr:row>0</xdr:row>
      <xdr:rowOff>163680</xdr:rowOff>
    </xdr:from>
    <xdr:to>
      <xdr:col>14</xdr:col>
      <xdr:colOff>228600</xdr:colOff>
      <xdr:row>16</xdr:row>
      <xdr:rowOff>9524</xdr:rowOff>
    </xdr:to>
    <xdr:pic>
      <xdr:nvPicPr>
        <xdr:cNvPr id="5" name="Picture 4" descr="CEPCI 2010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00350" y="163680"/>
          <a:ext cx="6610350" cy="2903369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476250</xdr:colOff>
      <xdr:row>21</xdr:row>
      <xdr:rowOff>142875</xdr:rowOff>
    </xdr:from>
    <xdr:to>
      <xdr:col>11</xdr:col>
      <xdr:colOff>342900</xdr:colOff>
      <xdr:row>39</xdr:row>
      <xdr:rowOff>57150</xdr:rowOff>
    </xdr:to>
    <xdr:pic>
      <xdr:nvPicPr>
        <xdr:cNvPr id="6" name="Picture 5" descr="coulson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343275" y="4152900"/>
          <a:ext cx="4219575" cy="3362325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485776</xdr:colOff>
      <xdr:row>39</xdr:row>
      <xdr:rowOff>57151</xdr:rowOff>
    </xdr:from>
    <xdr:to>
      <xdr:col>11</xdr:col>
      <xdr:colOff>356812</xdr:colOff>
      <xdr:row>47</xdr:row>
      <xdr:rowOff>161925</xdr:rowOff>
    </xdr:to>
    <xdr:pic>
      <xdr:nvPicPr>
        <xdr:cNvPr id="7" name="Picture 6" descr="factors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352801" y="7515226"/>
          <a:ext cx="4223961" cy="1638299"/>
        </a:xfrm>
        <a:prstGeom prst="rect">
          <a:avLst/>
        </a:prstGeom>
      </xdr:spPr>
    </xdr:pic>
    <xdr:clientData/>
  </xdr:twoCellAnchor>
  <xdr:twoCellAnchor editAs="oneCell">
    <xdr:from>
      <xdr:col>14</xdr:col>
      <xdr:colOff>361950</xdr:colOff>
      <xdr:row>1</xdr:row>
      <xdr:rowOff>28575</xdr:rowOff>
    </xdr:from>
    <xdr:to>
      <xdr:col>15</xdr:col>
      <xdr:colOff>171450</xdr:colOff>
      <xdr:row>3</xdr:row>
      <xdr:rowOff>66675</xdr:rowOff>
    </xdr:to>
    <xdr:pic>
      <xdr:nvPicPr>
        <xdr:cNvPr id="8" name="Picture 7" descr="home.png">
          <a:hlinkClick xmlns:r="http://schemas.openxmlformats.org/officeDocument/2006/relationships" r:id="rId5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886950" y="219075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17</xdr:row>
          <xdr:rowOff>76200</xdr:rowOff>
        </xdr:from>
        <xdr:to>
          <xdr:col>11</xdr:col>
          <xdr:colOff>711200</xdr:colOff>
          <xdr:row>20</xdr:row>
          <xdr:rowOff>76200</xdr:rowOff>
        </xdr:to>
        <xdr:sp macro="" textlink="">
          <xdr:nvSpPr>
            <xdr:cNvPr id="13314" name="Object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BE5F1"/>
            </a:solidFill>
            <a:ln w="19050">
              <a:solidFill>
                <a:srgbClr val="00808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378199</xdr:colOff>
      <xdr:row>51</xdr:row>
      <xdr:rowOff>156882</xdr:rowOff>
    </xdr:from>
    <xdr:to>
      <xdr:col>17</xdr:col>
      <xdr:colOff>263579</xdr:colOff>
      <xdr:row>72</xdr:row>
      <xdr:rowOff>8965</xdr:rowOff>
    </xdr:to>
    <xdr:pic>
      <xdr:nvPicPr>
        <xdr:cNvPr id="14" name="Picture 13" descr="Baffles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8199" y="10215282"/>
          <a:ext cx="9753280" cy="3852583"/>
        </a:xfrm>
        <a:prstGeom prst="rect">
          <a:avLst/>
        </a:prstGeom>
      </xdr:spPr>
    </xdr:pic>
    <xdr:clientData/>
  </xdr:twoCellAnchor>
  <xdr:twoCellAnchor editAs="oneCell">
    <xdr:from>
      <xdr:col>2</xdr:col>
      <xdr:colOff>40822</xdr:colOff>
      <xdr:row>0</xdr:row>
      <xdr:rowOff>0</xdr:rowOff>
    </xdr:from>
    <xdr:to>
      <xdr:col>15</xdr:col>
      <xdr:colOff>508907</xdr:colOff>
      <xdr:row>25</xdr:row>
      <xdr:rowOff>186418</xdr:rowOff>
    </xdr:to>
    <xdr:pic>
      <xdr:nvPicPr>
        <xdr:cNvPr id="18" name="Picture 17" descr="setting plan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11036" y="0"/>
          <a:ext cx="7924800" cy="5343525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28</xdr:row>
      <xdr:rowOff>133350</xdr:rowOff>
    </xdr:from>
    <xdr:to>
      <xdr:col>15</xdr:col>
      <xdr:colOff>152400</xdr:colOff>
      <xdr:row>48</xdr:row>
      <xdr:rowOff>76200</xdr:rowOff>
    </xdr:to>
    <xdr:pic>
      <xdr:nvPicPr>
        <xdr:cNvPr id="19" name="Picture 18" descr="sheet1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81100" y="5867400"/>
          <a:ext cx="7591425" cy="39243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0</xdr:row>
      <xdr:rowOff>95250</xdr:rowOff>
    </xdr:from>
    <xdr:to>
      <xdr:col>16</xdr:col>
      <xdr:colOff>466725</xdr:colOff>
      <xdr:row>2</xdr:row>
      <xdr:rowOff>133350</xdr:rowOff>
    </xdr:to>
    <xdr:pic>
      <xdr:nvPicPr>
        <xdr:cNvPr id="6" name="Picture 5" descr="home.png">
          <a:hlinkClick xmlns:r="http://schemas.openxmlformats.org/officeDocument/2006/relationships" r:id="rId4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277350" y="95250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15</xdr:col>
      <xdr:colOff>381000</xdr:colOff>
      <xdr:row>28</xdr:row>
      <xdr:rowOff>180975</xdr:rowOff>
    </xdr:from>
    <xdr:to>
      <xdr:col>16</xdr:col>
      <xdr:colOff>190500</xdr:colOff>
      <xdr:row>31</xdr:row>
      <xdr:rowOff>0</xdr:rowOff>
    </xdr:to>
    <xdr:pic>
      <xdr:nvPicPr>
        <xdr:cNvPr id="7" name="Picture 6" descr="home.png">
          <a:hlinkClick xmlns:r="http://schemas.openxmlformats.org/officeDocument/2006/relationships" r:id="rId4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001125" y="5915025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17</xdr:col>
      <xdr:colOff>409575</xdr:colOff>
      <xdr:row>52</xdr:row>
      <xdr:rowOff>28575</xdr:rowOff>
    </xdr:from>
    <xdr:to>
      <xdr:col>18</xdr:col>
      <xdr:colOff>19050</xdr:colOff>
      <xdr:row>54</xdr:row>
      <xdr:rowOff>47625</xdr:rowOff>
    </xdr:to>
    <xdr:pic>
      <xdr:nvPicPr>
        <xdr:cNvPr id="8" name="Picture 7" descr="home.png">
          <a:hlinkClick xmlns:r="http://schemas.openxmlformats.org/officeDocument/2006/relationships" r:id="rId4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0248900" y="10544175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89561</xdr:colOff>
      <xdr:row>34</xdr:row>
      <xdr:rowOff>152399</xdr:rowOff>
    </xdr:from>
    <xdr:to>
      <xdr:col>10</xdr:col>
      <xdr:colOff>837090</xdr:colOff>
      <xdr:row>37</xdr:row>
      <xdr:rowOff>85725</xdr:rowOff>
    </xdr:to>
    <xdr:pic>
      <xdr:nvPicPr>
        <xdr:cNvPr id="5" name="Picture 4" descr="sketch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576336" y="6629399"/>
          <a:ext cx="1357129" cy="5048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11</xdr:col>
      <xdr:colOff>66675</xdr:colOff>
      <xdr:row>0</xdr:row>
      <xdr:rowOff>66675</xdr:rowOff>
    </xdr:from>
    <xdr:to>
      <xdr:col>11</xdr:col>
      <xdr:colOff>485775</xdr:colOff>
      <xdr:row>2</xdr:row>
      <xdr:rowOff>104775</xdr:rowOff>
    </xdr:to>
    <xdr:pic>
      <xdr:nvPicPr>
        <xdr:cNvPr id="6" name="Picture 5" descr="home.png">
          <a:hlinkClick xmlns:r="http://schemas.openxmlformats.org/officeDocument/2006/relationships" r:id="rId2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058400" y="66675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247650</xdr:colOff>
      <xdr:row>2</xdr:row>
      <xdr:rowOff>28575</xdr:rowOff>
    </xdr:from>
    <xdr:to>
      <xdr:col>10</xdr:col>
      <xdr:colOff>95250</xdr:colOff>
      <xdr:row>3</xdr:row>
      <xdr:rowOff>19050</xdr:rowOff>
    </xdr:to>
    <xdr:pic>
      <xdr:nvPicPr>
        <xdr:cNvPr id="5" name="Picture 4" descr="home.png">
          <a:hlinkClick xmlns:r="http://schemas.openxmlformats.org/officeDocument/2006/relationships" r:id="rId1" tooltip="Go back home!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105900" y="409575"/>
          <a:ext cx="419100" cy="4191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9</xdr:col>
      <xdr:colOff>171450</xdr:colOff>
      <xdr:row>4</xdr:row>
      <xdr:rowOff>266700</xdr:rowOff>
    </xdr:from>
    <xdr:to>
      <xdr:col>11</xdr:col>
      <xdr:colOff>247650</xdr:colOff>
      <xdr:row>11</xdr:row>
      <xdr:rowOff>9525</xdr:rowOff>
    </xdr:to>
    <xdr:pic>
      <xdr:nvPicPr>
        <xdr:cNvPr id="4" name="Picture 3" descr="comments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029700" y="1352550"/>
          <a:ext cx="1219200" cy="12192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247650</xdr:colOff>
      <xdr:row>1</xdr:row>
      <xdr:rowOff>180975</xdr:rowOff>
    </xdr:from>
    <xdr:to>
      <xdr:col>12</xdr:col>
      <xdr:colOff>219075</xdr:colOff>
      <xdr:row>10</xdr:row>
      <xdr:rowOff>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00925" y="371475"/>
          <a:ext cx="1190625" cy="18192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in/Desktop/heat-exchanger/Project/84105827_8410535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ample/106_84109586_851086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ample2-%20Elna/Hex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Process Description"/>
      <sheetName val="Physical Properties"/>
      <sheetName val="Heat Calculation"/>
      <sheetName val="Tube Side"/>
      <sheetName val="Kern Method"/>
      <sheetName val="Bell Method"/>
      <sheetName val="Mechanical Design"/>
      <sheetName val="Cost Estimation"/>
      <sheetName val="TEMA Data Sheet"/>
      <sheetName val="Layout &amp; Setting Plant"/>
      <sheetName val="Refrences"/>
    </sheetNames>
    <sheetDataSet>
      <sheetData sheetId="0" refreshError="1"/>
      <sheetData sheetId="1">
        <row r="25">
          <cell r="H25">
            <v>0.25</v>
          </cell>
        </row>
      </sheetData>
      <sheetData sheetId="2" refreshError="1"/>
      <sheetData sheetId="3" refreshError="1"/>
      <sheetData sheetId="4" refreshError="1"/>
      <sheetData sheetId="5" refreshError="1"/>
      <sheetData sheetId="6">
        <row r="11">
          <cell r="N11">
            <v>7.9374999999999997E-4</v>
          </cell>
        </row>
        <row r="25">
          <cell r="J25">
            <v>23</v>
          </cell>
        </row>
        <row r="26">
          <cell r="J26">
            <v>0.17830799999999999</v>
          </cell>
        </row>
        <row r="28">
          <cell r="J28">
            <v>4.7624999999999994E-3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Requierements"/>
      <sheetName val="General"/>
      <sheetName val="Properties"/>
      <sheetName val="properties function"/>
      <sheetName val="Tube Side"/>
      <sheetName val="Shell Side"/>
      <sheetName val="Results"/>
      <sheetName val="Mechanical Design"/>
      <sheetName val="Cost Estimation"/>
      <sheetName val="Layout"/>
      <sheetName val="TEMA Data Sheet"/>
      <sheetName val="References"/>
    </sheetNames>
    <sheetDataSet>
      <sheetData sheetId="0" refreshError="1"/>
      <sheetData sheetId="1">
        <row r="13">
          <cell r="G13" t="str">
            <v>kg/s</v>
          </cell>
        </row>
        <row r="14">
          <cell r="F14">
            <v>2</v>
          </cell>
        </row>
      </sheetData>
      <sheetData sheetId="2" refreshError="1"/>
      <sheetData sheetId="3" refreshError="1"/>
      <sheetData sheetId="4">
        <row r="29">
          <cell r="D29">
            <v>2287.7646037</v>
          </cell>
        </row>
        <row r="216">
          <cell r="D216">
            <v>0.14680584190246518</v>
          </cell>
        </row>
      </sheetData>
      <sheetData sheetId="5">
        <row r="22">
          <cell r="H22">
            <v>6</v>
          </cell>
          <cell r="M22">
            <v>4.5245520487832085E-2</v>
          </cell>
        </row>
      </sheetData>
      <sheetData sheetId="6">
        <row r="14">
          <cell r="C14">
            <v>7.8171954514024714E-2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Menu"/>
      <sheetName val="requirement"/>
      <sheetName val="Hot Stream(tube)"/>
      <sheetName val="Cold stream(shell)"/>
      <sheetName val="Heat calculation"/>
      <sheetName val="Shell calculation"/>
      <sheetName val="Tube calculation"/>
      <sheetName val="Mechanical design"/>
      <sheetName val="Cost estimation"/>
      <sheetName val="Layout"/>
      <sheetName val="Tema Datasheet"/>
      <sheetName val="Refrence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0">
          <cell r="D20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4" Type="http://schemas.openxmlformats.org/officeDocument/2006/relationships/comments" Target="../comments3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4" Type="http://schemas.openxmlformats.org/officeDocument/2006/relationships/comments" Target="../comments5.xml"/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4" Type="http://schemas.openxmlformats.org/officeDocument/2006/relationships/comments" Target="../comments6.xml"/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4" Type="http://schemas.openxmlformats.org/officeDocument/2006/relationships/oleObject" Target="../embeddings/oleObject1.bin"/><Relationship Id="rId5" Type="http://schemas.openxmlformats.org/officeDocument/2006/relationships/image" Target="../media/image14.emf"/><Relationship Id="rId6" Type="http://schemas.openxmlformats.org/officeDocument/2006/relationships/comments" Target="../comments7.xml"/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Relationship Id="rId2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Relationship Id="rId2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C3:H22"/>
  <sheetViews>
    <sheetView tabSelected="1" topLeftCell="A13" workbookViewId="0">
      <selection activeCell="D13" sqref="D13"/>
    </sheetView>
  </sheetViews>
  <sheetFormatPr baseColWidth="10" defaultColWidth="9.1640625" defaultRowHeight="15" x14ac:dyDescent="0.2"/>
  <cols>
    <col min="1" max="1" width="9.1640625" style="4"/>
    <col min="2" max="2" width="11.1640625" style="4" customWidth="1"/>
    <col min="3" max="3" width="6.83203125" style="4" customWidth="1"/>
    <col min="4" max="4" width="14.6640625" style="4" customWidth="1"/>
    <col min="5" max="5" width="16" style="4" customWidth="1"/>
    <col min="6" max="6" width="24.1640625" style="4" customWidth="1"/>
    <col min="7" max="7" width="18" style="4" customWidth="1"/>
    <col min="8" max="16384" width="9.1640625" style="4"/>
  </cols>
  <sheetData>
    <row r="3" spans="3:8" ht="16" thickBot="1" x14ac:dyDescent="0.25"/>
    <row r="4" spans="3:8" ht="46.5" customHeight="1" thickTop="1" x14ac:dyDescent="0.2">
      <c r="C4" s="140" t="s">
        <v>439</v>
      </c>
      <c r="D4" s="141"/>
      <c r="E4" s="141"/>
      <c r="F4" s="141"/>
      <c r="G4" s="142"/>
    </row>
    <row r="5" spans="3:8" x14ac:dyDescent="0.2">
      <c r="C5" s="13"/>
      <c r="D5" s="14"/>
      <c r="E5" s="14"/>
      <c r="F5" s="14"/>
      <c r="G5" s="15"/>
    </row>
    <row r="6" spans="3:8" x14ac:dyDescent="0.2">
      <c r="C6" s="138" t="s">
        <v>440</v>
      </c>
      <c r="D6" s="139"/>
      <c r="E6" s="3"/>
      <c r="F6" s="3"/>
      <c r="G6" s="16"/>
    </row>
    <row r="7" spans="3:8" ht="16" x14ac:dyDescent="0.2">
      <c r="C7" s="17"/>
      <c r="D7" s="143" t="s">
        <v>0</v>
      </c>
      <c r="E7" s="143"/>
      <c r="F7" s="3"/>
      <c r="G7" s="16"/>
      <c r="H7" s="5"/>
    </row>
    <row r="8" spans="3:8" ht="16" x14ac:dyDescent="0.2">
      <c r="C8" s="17"/>
      <c r="D8" s="137" t="s">
        <v>441</v>
      </c>
      <c r="E8" s="137"/>
      <c r="F8" s="3"/>
      <c r="G8" s="16"/>
      <c r="H8" s="5"/>
    </row>
    <row r="9" spans="3:8" ht="16" x14ac:dyDescent="0.2">
      <c r="C9" s="17"/>
      <c r="D9" s="143" t="s">
        <v>1</v>
      </c>
      <c r="E9" s="143"/>
      <c r="F9" s="3"/>
      <c r="G9" s="16"/>
      <c r="H9" s="5"/>
    </row>
    <row r="10" spans="3:8" x14ac:dyDescent="0.2">
      <c r="C10" s="17"/>
      <c r="D10" s="3"/>
      <c r="E10" s="3"/>
      <c r="F10" s="3"/>
      <c r="G10" s="16"/>
      <c r="H10" s="5"/>
    </row>
    <row r="11" spans="3:8" x14ac:dyDescent="0.2">
      <c r="C11" s="138" t="s">
        <v>598</v>
      </c>
      <c r="D11" s="139"/>
      <c r="E11" s="3"/>
      <c r="F11" s="3"/>
      <c r="G11" s="16"/>
    </row>
    <row r="12" spans="3:8" ht="16" x14ac:dyDescent="0.2">
      <c r="C12" s="17"/>
      <c r="D12" s="143" t="s">
        <v>603</v>
      </c>
      <c r="E12" s="143"/>
      <c r="F12" s="3"/>
      <c r="G12" s="16"/>
    </row>
    <row r="13" spans="3:8" x14ac:dyDescent="0.2">
      <c r="C13" s="17"/>
      <c r="D13" s="12"/>
      <c r="E13" s="3"/>
      <c r="F13" s="3"/>
      <c r="G13" s="16"/>
    </row>
    <row r="14" spans="3:8" ht="16" x14ac:dyDescent="0.2">
      <c r="C14" s="17"/>
      <c r="D14" s="135" t="s">
        <v>444</v>
      </c>
      <c r="E14" s="135"/>
      <c r="F14" s="135"/>
      <c r="G14" s="16"/>
    </row>
    <row r="15" spans="3:8" ht="16" x14ac:dyDescent="0.2">
      <c r="C15" s="17"/>
      <c r="D15" s="137" t="s">
        <v>443</v>
      </c>
      <c r="E15" s="137"/>
      <c r="F15" s="137"/>
      <c r="G15" s="16"/>
      <c r="H15" s="5"/>
    </row>
    <row r="16" spans="3:8" x14ac:dyDescent="0.2">
      <c r="C16" s="17"/>
      <c r="D16" s="3"/>
      <c r="E16" s="11"/>
      <c r="F16" s="3"/>
      <c r="G16" s="16"/>
      <c r="H16" s="5"/>
    </row>
    <row r="17" spans="3:8" x14ac:dyDescent="0.2">
      <c r="C17" s="17"/>
      <c r="D17" s="3"/>
      <c r="E17" s="11"/>
      <c r="F17" s="3"/>
      <c r="G17" s="16"/>
      <c r="H17" s="5"/>
    </row>
    <row r="18" spans="3:8" x14ac:dyDescent="0.2">
      <c r="C18" s="17"/>
      <c r="D18" s="3"/>
      <c r="E18" s="3"/>
      <c r="F18" s="3"/>
      <c r="G18" s="16"/>
      <c r="H18" s="5"/>
    </row>
    <row r="19" spans="3:8" x14ac:dyDescent="0.2">
      <c r="C19" s="17"/>
      <c r="D19" s="3"/>
      <c r="E19" s="3"/>
      <c r="F19" s="3"/>
      <c r="G19" s="16"/>
    </row>
    <row r="20" spans="3:8" x14ac:dyDescent="0.2">
      <c r="C20" s="17"/>
      <c r="D20" s="3"/>
      <c r="E20" s="3"/>
      <c r="F20" s="3"/>
      <c r="G20" s="16"/>
    </row>
    <row r="21" spans="3:8" ht="16" thickBot="1" x14ac:dyDescent="0.25">
      <c r="C21" s="18"/>
      <c r="D21" s="19"/>
      <c r="E21" s="19"/>
      <c r="F21" s="19"/>
      <c r="G21" s="20" t="s">
        <v>442</v>
      </c>
    </row>
    <row r="22" spans="3:8" ht="16" thickTop="1" x14ac:dyDescent="0.2"/>
  </sheetData>
  <mergeCells count="8">
    <mergeCell ref="D15:F15"/>
    <mergeCell ref="C11:D11"/>
    <mergeCell ref="C6:D6"/>
    <mergeCell ref="C4:G4"/>
    <mergeCell ref="D8:E8"/>
    <mergeCell ref="D9:E9"/>
    <mergeCell ref="D7:E7"/>
    <mergeCell ref="D12:E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F2"/>
  <sheetViews>
    <sheetView workbookViewId="0"/>
  </sheetViews>
  <sheetFormatPr baseColWidth="10" defaultColWidth="8.83203125" defaultRowHeight="15" x14ac:dyDescent="0.2"/>
  <cols>
    <col min="1" max="16384" width="8.83203125" style="4"/>
  </cols>
  <sheetData>
    <row r="2" spans="1:6" ht="16" x14ac:dyDescent="0.2">
      <c r="A2" s="144" t="s">
        <v>538</v>
      </c>
      <c r="B2" s="145"/>
      <c r="C2" s="145"/>
      <c r="D2" s="145"/>
      <c r="E2" s="145"/>
      <c r="F2" s="145"/>
    </row>
  </sheetData>
  <mergeCells count="1">
    <mergeCell ref="A2:F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D5:H16"/>
  <sheetViews>
    <sheetView workbookViewId="0">
      <selection activeCell="I11" sqref="I11"/>
    </sheetView>
  </sheetViews>
  <sheetFormatPr baseColWidth="10" defaultColWidth="9.1640625" defaultRowHeight="15" x14ac:dyDescent="0.2"/>
  <cols>
    <col min="1" max="16384" width="9.1640625" style="4"/>
  </cols>
  <sheetData>
    <row r="5" spans="4:8" x14ac:dyDescent="0.2">
      <c r="D5" s="146" t="s">
        <v>437</v>
      </c>
      <c r="E5" s="149" t="s">
        <v>15</v>
      </c>
      <c r="F5" s="149"/>
      <c r="G5" s="149" t="s">
        <v>17</v>
      </c>
      <c r="H5" s="149"/>
    </row>
    <row r="6" spans="4:8" x14ac:dyDescent="0.2">
      <c r="D6" s="147"/>
      <c r="E6" s="149" t="s">
        <v>2</v>
      </c>
      <c r="F6" s="149"/>
      <c r="G6" s="149" t="s">
        <v>3</v>
      </c>
      <c r="H6" s="149"/>
    </row>
    <row r="7" spans="4:8" x14ac:dyDescent="0.2">
      <c r="D7" s="148"/>
      <c r="E7" s="149" t="s">
        <v>5</v>
      </c>
      <c r="F7" s="149"/>
      <c r="G7" s="149" t="s">
        <v>4</v>
      </c>
      <c r="H7" s="149"/>
    </row>
    <row r="8" spans="4:8" x14ac:dyDescent="0.2">
      <c r="D8" s="2" t="s">
        <v>6</v>
      </c>
      <c r="E8" s="2">
        <v>189</v>
      </c>
      <c r="F8" s="2" t="s">
        <v>16</v>
      </c>
      <c r="G8" s="2">
        <v>278.39999999999998</v>
      </c>
      <c r="H8" s="2" t="s">
        <v>16</v>
      </c>
    </row>
    <row r="9" spans="4:8" x14ac:dyDescent="0.2">
      <c r="D9" s="2" t="s">
        <v>7</v>
      </c>
      <c r="E9" s="2">
        <v>234</v>
      </c>
      <c r="F9" s="2" t="s">
        <v>16</v>
      </c>
      <c r="G9" s="2">
        <v>203</v>
      </c>
      <c r="H9" s="2" t="s">
        <v>16</v>
      </c>
    </row>
    <row r="10" spans="4:8" x14ac:dyDescent="0.2">
      <c r="D10" s="93" t="s">
        <v>587</v>
      </c>
      <c r="E10" s="92">
        <v>23.78</v>
      </c>
      <c r="F10" s="93" t="s">
        <v>9</v>
      </c>
      <c r="G10" s="92">
        <v>13.196999999999999</v>
      </c>
      <c r="H10" s="93" t="s">
        <v>9</v>
      </c>
    </row>
    <row r="11" spans="4:8" x14ac:dyDescent="0.2">
      <c r="D11" s="2" t="s">
        <v>8</v>
      </c>
      <c r="E11" s="2">
        <f>23.78*(1+overdesign/100)</f>
        <v>26.158000000000005</v>
      </c>
      <c r="F11" s="2" t="s">
        <v>9</v>
      </c>
      <c r="G11" s="2">
        <f>13.197*(1+overdesign/100)</f>
        <v>14.5167</v>
      </c>
      <c r="H11" s="2" t="s">
        <v>9</v>
      </c>
    </row>
    <row r="12" spans="4:8" x14ac:dyDescent="0.2">
      <c r="D12" s="2" t="s">
        <v>10</v>
      </c>
      <c r="E12" s="2">
        <v>16.100000000000001</v>
      </c>
      <c r="F12" s="2" t="s">
        <v>11</v>
      </c>
      <c r="G12" s="2">
        <f>11.9</f>
        <v>11.9</v>
      </c>
      <c r="H12" s="2" t="s">
        <v>11</v>
      </c>
    </row>
    <row r="13" spans="4:8" x14ac:dyDescent="0.2">
      <c r="D13" s="2" t="s">
        <v>12</v>
      </c>
      <c r="E13" s="2">
        <f>P_in_shell-deltaP_shell_bell_bar</f>
        <v>15.872405778165973</v>
      </c>
      <c r="F13" s="9" t="s">
        <v>11</v>
      </c>
      <c r="G13" s="2">
        <f>P_in_tube-deltaP_tube_bar</f>
        <v>11.802607976583468</v>
      </c>
      <c r="H13" s="2" t="s">
        <v>11</v>
      </c>
    </row>
    <row r="14" spans="4:8" x14ac:dyDescent="0.2">
      <c r="D14" s="2"/>
      <c r="E14" s="2"/>
      <c r="F14" s="2"/>
      <c r="G14" s="2"/>
      <c r="H14" s="2"/>
    </row>
    <row r="15" spans="4:8" x14ac:dyDescent="0.2">
      <c r="D15" s="2" t="s">
        <v>13</v>
      </c>
      <c r="E15" s="2">
        <v>34</v>
      </c>
      <c r="F15" s="2" t="s">
        <v>11</v>
      </c>
      <c r="G15" s="2">
        <v>13.4</v>
      </c>
      <c r="H15" s="2" t="s">
        <v>11</v>
      </c>
    </row>
    <row r="16" spans="4:8" x14ac:dyDescent="0.2">
      <c r="D16" s="2" t="s">
        <v>14</v>
      </c>
      <c r="E16" s="2">
        <v>1.1E-4</v>
      </c>
      <c r="F16" s="2" t="s">
        <v>18</v>
      </c>
      <c r="G16" s="2">
        <v>2.9999999999999997E-4</v>
      </c>
      <c r="H16" s="2" t="s">
        <v>18</v>
      </c>
    </row>
  </sheetData>
  <mergeCells count="7">
    <mergeCell ref="D5:D7"/>
    <mergeCell ref="E5:F5"/>
    <mergeCell ref="G5:H5"/>
    <mergeCell ref="E6:F6"/>
    <mergeCell ref="G6:H6"/>
    <mergeCell ref="E7:F7"/>
    <mergeCell ref="G7:H7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4:L20"/>
  <sheetViews>
    <sheetView workbookViewId="0"/>
  </sheetViews>
  <sheetFormatPr baseColWidth="10" defaultColWidth="9.1640625" defaultRowHeight="15" x14ac:dyDescent="0.2"/>
  <cols>
    <col min="1" max="16384" width="9.1640625" style="4"/>
  </cols>
  <sheetData>
    <row r="4" spans="2:12" ht="16" x14ac:dyDescent="0.2">
      <c r="B4" s="150" t="s">
        <v>19</v>
      </c>
      <c r="C4" s="150"/>
      <c r="D4" s="150"/>
      <c r="E4" s="150"/>
      <c r="F4" s="150"/>
      <c r="H4" s="150" t="s">
        <v>29</v>
      </c>
      <c r="I4" s="150"/>
      <c r="J4" s="150"/>
      <c r="K4" s="150"/>
      <c r="L4" s="150"/>
    </row>
    <row r="5" spans="2:12" x14ac:dyDescent="0.2">
      <c r="B5" s="2" t="s">
        <v>20</v>
      </c>
      <c r="C5" s="2" t="s">
        <v>21</v>
      </c>
      <c r="D5" s="2" t="s">
        <v>22</v>
      </c>
      <c r="E5" s="2" t="s">
        <v>23</v>
      </c>
      <c r="F5" s="2" t="s">
        <v>24</v>
      </c>
      <c r="H5" s="2" t="s">
        <v>20</v>
      </c>
      <c r="I5" s="2" t="s">
        <v>21</v>
      </c>
      <c r="J5" s="2" t="s">
        <v>22</v>
      </c>
      <c r="K5" s="2" t="s">
        <v>23</v>
      </c>
      <c r="L5" s="2" t="s">
        <v>24</v>
      </c>
    </row>
    <row r="6" spans="2:12" x14ac:dyDescent="0.2">
      <c r="B6" s="2" t="s">
        <v>16</v>
      </c>
      <c r="C6" s="2" t="s">
        <v>25</v>
      </c>
      <c r="D6" s="2" t="s">
        <v>26</v>
      </c>
      <c r="E6" s="2" t="s">
        <v>27</v>
      </c>
      <c r="F6" s="2" t="s">
        <v>28</v>
      </c>
      <c r="H6" s="2" t="s">
        <v>16</v>
      </c>
      <c r="I6" s="2" t="s">
        <v>25</v>
      </c>
      <c r="J6" s="2" t="s">
        <v>26</v>
      </c>
      <c r="K6" s="2" t="s">
        <v>27</v>
      </c>
      <c r="L6" s="2" t="s">
        <v>28</v>
      </c>
    </row>
    <row r="7" spans="2:12" x14ac:dyDescent="0.2">
      <c r="B7" s="2">
        <v>189</v>
      </c>
      <c r="C7" s="2">
        <v>0.16600000000000001</v>
      </c>
      <c r="D7" s="2">
        <v>710.2</v>
      </c>
      <c r="E7" s="2">
        <v>2.3199999999999998</v>
      </c>
      <c r="F7" s="2">
        <v>0.1007</v>
      </c>
      <c r="H7" s="2">
        <v>278.39999999999998</v>
      </c>
      <c r="I7" s="2">
        <v>9.2999999999999999E-2</v>
      </c>
      <c r="J7" s="2">
        <v>597.4</v>
      </c>
      <c r="K7" s="2">
        <v>2.89</v>
      </c>
      <c r="L7" s="2">
        <v>7.4899999999999994E-2</v>
      </c>
    </row>
    <row r="8" spans="2:12" x14ac:dyDescent="0.2">
      <c r="B8" s="2">
        <v>195</v>
      </c>
      <c r="C8" s="2">
        <v>0.159</v>
      </c>
      <c r="D8" s="2">
        <v>703.7</v>
      </c>
      <c r="E8" s="2">
        <v>2.35</v>
      </c>
      <c r="F8" s="2">
        <v>9.9099999999999994E-2</v>
      </c>
      <c r="H8" s="2">
        <v>272.39999999999998</v>
      </c>
      <c r="I8" s="2">
        <v>9.8000000000000004E-2</v>
      </c>
      <c r="J8" s="2">
        <v>606.5</v>
      </c>
      <c r="K8" s="2">
        <v>2.83</v>
      </c>
      <c r="L8" s="2">
        <v>7.5200000000000003E-2</v>
      </c>
    </row>
    <row r="9" spans="2:12" x14ac:dyDescent="0.2">
      <c r="B9" s="2">
        <v>201</v>
      </c>
      <c r="C9" s="2">
        <v>0.152</v>
      </c>
      <c r="D9" s="2">
        <v>697</v>
      </c>
      <c r="E9" s="2">
        <v>2.37</v>
      </c>
      <c r="F9" s="2">
        <v>9.7500000000000003E-2</v>
      </c>
      <c r="H9" s="2">
        <v>266.39999999999998</v>
      </c>
      <c r="I9" s="2">
        <v>0.10199999999999999</v>
      </c>
      <c r="J9" s="2">
        <v>615.29999999999995</v>
      </c>
      <c r="K9" s="2">
        <v>2.78</v>
      </c>
      <c r="L9" s="2">
        <v>7.5600000000000001E-2</v>
      </c>
    </row>
    <row r="10" spans="2:12" x14ac:dyDescent="0.2">
      <c r="B10" s="2">
        <v>207</v>
      </c>
      <c r="C10" s="2">
        <v>0.14599999999999999</v>
      </c>
      <c r="D10" s="2">
        <v>690.2</v>
      </c>
      <c r="E10" s="2">
        <v>2.4</v>
      </c>
      <c r="F10" s="2">
        <v>9.5799999999999996E-2</v>
      </c>
      <c r="H10" s="2">
        <v>260.39999999999998</v>
      </c>
      <c r="I10" s="2">
        <v>0.107</v>
      </c>
      <c r="J10" s="2">
        <v>623.70000000000005</v>
      </c>
      <c r="K10" s="2">
        <v>2.74</v>
      </c>
      <c r="L10" s="2">
        <v>7.5899999999999995E-2</v>
      </c>
    </row>
    <row r="11" spans="2:12" x14ac:dyDescent="0.2">
      <c r="B11" s="2">
        <v>213</v>
      </c>
      <c r="C11" s="2">
        <v>0.14000000000000001</v>
      </c>
      <c r="D11" s="2">
        <v>683.3</v>
      </c>
      <c r="E11" s="2">
        <v>2.44</v>
      </c>
      <c r="F11" s="2">
        <v>9.4100000000000003E-2</v>
      </c>
      <c r="H11" s="2">
        <v>254.4</v>
      </c>
      <c r="I11" s="2">
        <v>0.112</v>
      </c>
      <c r="J11" s="2">
        <v>631.9</v>
      </c>
      <c r="K11" s="2">
        <v>2.69</v>
      </c>
      <c r="L11" s="2">
        <v>7.6300000000000007E-2</v>
      </c>
    </row>
    <row r="12" spans="2:12" x14ac:dyDescent="0.2">
      <c r="B12" s="2">
        <v>219</v>
      </c>
      <c r="C12" s="2">
        <v>0.13400000000000001</v>
      </c>
      <c r="D12" s="2">
        <v>676.3</v>
      </c>
      <c r="E12" s="2">
        <v>2.4700000000000002</v>
      </c>
      <c r="F12" s="2">
        <v>9.2399999999999996E-2</v>
      </c>
      <c r="H12" s="2">
        <v>248.4</v>
      </c>
      <c r="I12" s="2">
        <v>0.11700000000000001</v>
      </c>
      <c r="J12" s="2">
        <v>639.70000000000005</v>
      </c>
      <c r="K12" s="2">
        <v>2.65</v>
      </c>
      <c r="L12" s="2">
        <v>7.6600000000000001E-2</v>
      </c>
    </row>
    <row r="13" spans="2:12" x14ac:dyDescent="0.2">
      <c r="B13" s="2">
        <v>225</v>
      </c>
      <c r="C13" s="2">
        <v>0.129</v>
      </c>
      <c r="D13" s="2">
        <v>669.1</v>
      </c>
      <c r="E13" s="2">
        <v>2.5</v>
      </c>
      <c r="F13" s="2">
        <v>9.0700000000000003E-2</v>
      </c>
      <c r="H13" s="2">
        <v>242.4</v>
      </c>
      <c r="I13" s="2">
        <v>0.122</v>
      </c>
      <c r="J13" s="2">
        <v>647.4</v>
      </c>
      <c r="K13" s="2">
        <v>2.61</v>
      </c>
      <c r="L13" s="2">
        <v>7.6999999999999999E-2</v>
      </c>
    </row>
    <row r="14" spans="2:12" x14ac:dyDescent="0.2">
      <c r="B14" s="2">
        <v>229</v>
      </c>
      <c r="C14" s="2">
        <v>0.125</v>
      </c>
      <c r="D14" s="2">
        <v>664.2</v>
      </c>
      <c r="E14" s="2">
        <v>2.52</v>
      </c>
      <c r="F14" s="2">
        <v>8.9499999999999996E-2</v>
      </c>
      <c r="H14" s="2">
        <v>236.4</v>
      </c>
      <c r="I14" s="2">
        <v>0.127</v>
      </c>
      <c r="J14" s="2">
        <v>654.79999999999995</v>
      </c>
      <c r="K14" s="2">
        <v>2.58</v>
      </c>
      <c r="L14" s="2">
        <v>7.7299999999999994E-2</v>
      </c>
    </row>
    <row r="15" spans="2:12" x14ac:dyDescent="0.2">
      <c r="B15" s="2">
        <v>234</v>
      </c>
      <c r="C15" s="2">
        <v>0.121</v>
      </c>
      <c r="D15" s="2">
        <v>658</v>
      </c>
      <c r="E15" s="2">
        <v>2.5499999999999998</v>
      </c>
      <c r="F15" s="2">
        <v>8.7999999999999995E-2</v>
      </c>
      <c r="H15" s="2">
        <v>230.4</v>
      </c>
      <c r="I15" s="2">
        <v>0.13300000000000001</v>
      </c>
      <c r="J15" s="2">
        <v>662</v>
      </c>
      <c r="K15" s="2">
        <v>2.54</v>
      </c>
      <c r="L15" s="2">
        <v>7.7700000000000005E-2</v>
      </c>
    </row>
    <row r="16" spans="2:12" x14ac:dyDescent="0.2">
      <c r="H16" s="2">
        <v>224.4</v>
      </c>
      <c r="I16" s="2">
        <v>0.13800000000000001</v>
      </c>
      <c r="J16" s="2">
        <v>669.1</v>
      </c>
      <c r="K16" s="2">
        <v>2.5099999999999998</v>
      </c>
      <c r="L16" s="2">
        <v>7.8E-2</v>
      </c>
    </row>
    <row r="17" spans="8:12" x14ac:dyDescent="0.2">
      <c r="H17" s="2">
        <v>218.4</v>
      </c>
      <c r="I17" s="2">
        <v>0.14399999999999999</v>
      </c>
      <c r="J17" s="2">
        <v>676</v>
      </c>
      <c r="K17" s="2">
        <v>2.48</v>
      </c>
      <c r="L17" s="2">
        <v>7.8399999999999997E-2</v>
      </c>
    </row>
    <row r="18" spans="8:12" x14ac:dyDescent="0.2">
      <c r="H18" s="2">
        <v>212.4</v>
      </c>
      <c r="I18" s="2">
        <v>0.15</v>
      </c>
      <c r="J18" s="2">
        <v>682.8</v>
      </c>
      <c r="K18" s="2">
        <v>2.44</v>
      </c>
      <c r="L18" s="2">
        <v>7.8700000000000006E-2</v>
      </c>
    </row>
    <row r="19" spans="8:12" x14ac:dyDescent="0.2">
      <c r="H19" s="2">
        <v>207.4</v>
      </c>
      <c r="I19" s="2">
        <v>0.156</v>
      </c>
      <c r="J19" s="2">
        <v>688.4</v>
      </c>
      <c r="K19" s="2">
        <v>2.42</v>
      </c>
      <c r="L19" s="2">
        <v>7.9000000000000001E-2</v>
      </c>
    </row>
    <row r="20" spans="8:12" x14ac:dyDescent="0.2">
      <c r="H20" s="2">
        <v>203.4</v>
      </c>
      <c r="I20" s="2">
        <v>0.16</v>
      </c>
      <c r="J20" s="2">
        <v>692.7</v>
      </c>
      <c r="K20" s="2">
        <v>2.4</v>
      </c>
      <c r="L20" s="2">
        <v>7.9399999999999998E-2</v>
      </c>
    </row>
  </sheetData>
  <mergeCells count="2">
    <mergeCell ref="B4:F4"/>
    <mergeCell ref="H4:L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B2:O141"/>
  <sheetViews>
    <sheetView topLeftCell="A23" workbookViewId="0">
      <selection activeCell="C47" sqref="C47"/>
    </sheetView>
  </sheetViews>
  <sheetFormatPr baseColWidth="10" defaultColWidth="9.1640625" defaultRowHeight="15" x14ac:dyDescent="0.2"/>
  <cols>
    <col min="1" max="12" width="9.1640625" style="4"/>
    <col min="13" max="13" width="13.33203125" style="4" customWidth="1"/>
    <col min="14" max="14" width="19.5" style="4" customWidth="1"/>
    <col min="15" max="15" width="11" style="4" bestFit="1" customWidth="1"/>
    <col min="16" max="16384" width="9.1640625" style="4"/>
  </cols>
  <sheetData>
    <row r="2" spans="2:14" x14ac:dyDescent="0.2">
      <c r="I2" s="151"/>
      <c r="J2" s="151"/>
      <c r="K2" s="151"/>
      <c r="L2" s="151"/>
    </row>
    <row r="4" spans="2:14" ht="16" x14ac:dyDescent="0.2">
      <c r="B4" s="150" t="s">
        <v>30</v>
      </c>
      <c r="C4" s="150"/>
      <c r="D4" s="7"/>
    </row>
    <row r="5" spans="2:14" x14ac:dyDescent="0.2">
      <c r="B5" s="2" t="s">
        <v>20</v>
      </c>
      <c r="C5" s="2" t="s">
        <v>23</v>
      </c>
      <c r="D5" s="7"/>
    </row>
    <row r="6" spans="2:14" x14ac:dyDescent="0.2">
      <c r="B6" s="2" t="s">
        <v>16</v>
      </c>
      <c r="C6" s="2" t="s">
        <v>27</v>
      </c>
      <c r="D6" s="7"/>
    </row>
    <row r="7" spans="2:14" x14ac:dyDescent="0.2">
      <c r="B7" s="2">
        <v>278.39999999999998</v>
      </c>
      <c r="C7" s="2">
        <v>2.89</v>
      </c>
      <c r="D7" s="7"/>
    </row>
    <row r="8" spans="2:14" x14ac:dyDescent="0.2">
      <c r="B8" s="2">
        <v>272.39999999999998</v>
      </c>
      <c r="C8" s="2">
        <v>2.83</v>
      </c>
      <c r="D8" s="7"/>
    </row>
    <row r="9" spans="2:14" x14ac:dyDescent="0.2">
      <c r="B9" s="2">
        <v>266.39999999999998</v>
      </c>
      <c r="C9" s="2">
        <v>2.78</v>
      </c>
      <c r="D9" s="7"/>
    </row>
    <row r="10" spans="2:14" x14ac:dyDescent="0.2">
      <c r="B10" s="2">
        <v>260.39999999999998</v>
      </c>
      <c r="C10" s="2">
        <v>2.74</v>
      </c>
      <c r="D10" s="7"/>
    </row>
    <row r="11" spans="2:14" x14ac:dyDescent="0.2">
      <c r="B11" s="2">
        <v>254.4</v>
      </c>
      <c r="C11" s="2">
        <v>2.69</v>
      </c>
      <c r="D11" s="7"/>
      <c r="M11" s="2" t="s">
        <v>34</v>
      </c>
      <c r="N11" s="2">
        <v>6.4000000000000003E-3</v>
      </c>
    </row>
    <row r="12" spans="2:14" x14ac:dyDescent="0.2">
      <c r="B12" s="2">
        <v>248.4</v>
      </c>
      <c r="C12" s="2">
        <v>2.65</v>
      </c>
      <c r="D12" s="7"/>
      <c r="M12" s="2" t="s">
        <v>35</v>
      </c>
      <c r="N12" s="2">
        <v>1.0871</v>
      </c>
    </row>
    <row r="13" spans="2:14" x14ac:dyDescent="0.2">
      <c r="B13" s="2">
        <v>242.4</v>
      </c>
      <c r="C13" s="2">
        <v>2.61</v>
      </c>
      <c r="D13" s="7"/>
      <c r="M13" s="2" t="s">
        <v>38</v>
      </c>
      <c r="N13" s="2">
        <f>(1/2*(a_cp_tube)*((T_in_tube)^2-(T_out_tube)^2)+b_cp_tube*(T_in_tube-T_out_tube))</f>
        <v>198.11953199999994</v>
      </c>
    </row>
    <row r="14" spans="2:14" x14ac:dyDescent="0.2">
      <c r="B14" s="2">
        <v>236.4</v>
      </c>
      <c r="C14" s="2">
        <v>2.58</v>
      </c>
      <c r="D14" s="7"/>
      <c r="M14" s="2" t="s">
        <v>39</v>
      </c>
      <c r="N14" s="2">
        <f>intgrl_cp_tube/(T_in_tube-T_out_tube)</f>
        <v>2.62758</v>
      </c>
    </row>
    <row r="15" spans="2:14" x14ac:dyDescent="0.2">
      <c r="B15" s="2">
        <v>230.4</v>
      </c>
      <c r="C15" s="2">
        <v>2.54</v>
      </c>
      <c r="D15" s="7"/>
      <c r="M15" s="2" t="s">
        <v>77</v>
      </c>
      <c r="N15" s="2">
        <f>C7</f>
        <v>2.89</v>
      </c>
    </row>
    <row r="16" spans="2:14" x14ac:dyDescent="0.2">
      <c r="B16" s="2">
        <v>224.4</v>
      </c>
      <c r="C16" s="2">
        <v>2.5099999999999998</v>
      </c>
      <c r="D16" s="7"/>
      <c r="M16" s="2" t="s">
        <v>78</v>
      </c>
      <c r="N16" s="2">
        <f>C20</f>
        <v>2.4</v>
      </c>
    </row>
    <row r="17" spans="2:14" x14ac:dyDescent="0.2">
      <c r="B17" s="2">
        <v>218.4</v>
      </c>
      <c r="C17" s="2">
        <v>2.48</v>
      </c>
      <c r="D17" s="7"/>
    </row>
    <row r="18" spans="2:14" x14ac:dyDescent="0.2">
      <c r="B18" s="2">
        <v>212.4</v>
      </c>
      <c r="C18" s="2">
        <v>2.44</v>
      </c>
      <c r="D18" s="7"/>
    </row>
    <row r="19" spans="2:14" x14ac:dyDescent="0.2">
      <c r="B19" s="2">
        <v>207.4</v>
      </c>
      <c r="C19" s="2">
        <v>2.42</v>
      </c>
      <c r="D19" s="7"/>
    </row>
    <row r="20" spans="2:14" x14ac:dyDescent="0.2">
      <c r="B20" s="2">
        <v>203.4</v>
      </c>
      <c r="C20" s="2">
        <v>2.4</v>
      </c>
      <c r="D20" s="7"/>
    </row>
    <row r="21" spans="2:14" x14ac:dyDescent="0.2">
      <c r="B21" s="7"/>
      <c r="C21" s="7"/>
      <c r="D21" s="7"/>
    </row>
    <row r="22" spans="2:14" x14ac:dyDescent="0.2">
      <c r="B22" s="7"/>
      <c r="C22" s="7"/>
      <c r="D22" s="7"/>
    </row>
    <row r="23" spans="2:14" x14ac:dyDescent="0.2">
      <c r="B23" s="7"/>
      <c r="C23" s="7"/>
      <c r="D23" s="7"/>
    </row>
    <row r="24" spans="2:14" x14ac:dyDescent="0.2">
      <c r="B24" s="7"/>
      <c r="C24" s="7"/>
      <c r="D24" s="7"/>
    </row>
    <row r="25" spans="2:14" ht="16" x14ac:dyDescent="0.2">
      <c r="B25" s="150" t="s">
        <v>31</v>
      </c>
      <c r="C25" s="150"/>
      <c r="D25" s="7"/>
    </row>
    <row r="26" spans="2:14" x14ac:dyDescent="0.2">
      <c r="B26" s="2" t="s">
        <v>20</v>
      </c>
      <c r="C26" s="2" t="s">
        <v>23</v>
      </c>
      <c r="D26" s="7"/>
    </row>
    <row r="27" spans="2:14" x14ac:dyDescent="0.2">
      <c r="B27" s="2" t="s">
        <v>16</v>
      </c>
      <c r="C27" s="2" t="s">
        <v>27</v>
      </c>
      <c r="D27" s="7"/>
    </row>
    <row r="28" spans="2:14" x14ac:dyDescent="0.2">
      <c r="B28" s="2">
        <v>189</v>
      </c>
      <c r="C28" s="2">
        <v>2.3199999999999998</v>
      </c>
      <c r="D28" s="7"/>
    </row>
    <row r="29" spans="2:14" x14ac:dyDescent="0.2">
      <c r="B29" s="2">
        <v>195</v>
      </c>
      <c r="C29" s="2">
        <v>2.35</v>
      </c>
      <c r="D29" s="7"/>
    </row>
    <row r="30" spans="2:14" x14ac:dyDescent="0.2">
      <c r="B30" s="2">
        <v>201</v>
      </c>
      <c r="C30" s="2">
        <v>2.37</v>
      </c>
      <c r="D30" s="7"/>
    </row>
    <row r="31" spans="2:14" x14ac:dyDescent="0.2">
      <c r="B31" s="2">
        <v>207</v>
      </c>
      <c r="C31" s="2">
        <v>2.4</v>
      </c>
      <c r="D31" s="7"/>
      <c r="M31" s="2" t="s">
        <v>36</v>
      </c>
      <c r="N31" s="2">
        <v>5.1000000000000004E-3</v>
      </c>
    </row>
    <row r="32" spans="2:14" x14ac:dyDescent="0.2">
      <c r="B32" s="2">
        <v>213</v>
      </c>
      <c r="C32" s="2">
        <v>2.44</v>
      </c>
      <c r="D32" s="7"/>
      <c r="M32" s="2" t="s">
        <v>37</v>
      </c>
      <c r="N32" s="2">
        <v>1.3432999999999999</v>
      </c>
    </row>
    <row r="33" spans="2:15" x14ac:dyDescent="0.2">
      <c r="B33" s="2">
        <v>219</v>
      </c>
      <c r="C33" s="2">
        <v>2.4700000000000002</v>
      </c>
      <c r="D33" s="7"/>
      <c r="M33" s="2" t="s">
        <v>40</v>
      </c>
      <c r="N33" s="2">
        <f>(1/2*(a_cp_shell)*((T_out_shell)^2-(T_in_shell)^2)+b_cp_shell*(T_out_shell-T_in_shell))</f>
        <v>108.98775000000001</v>
      </c>
    </row>
    <row r="34" spans="2:15" x14ac:dyDescent="0.2">
      <c r="B34" s="2">
        <v>225</v>
      </c>
      <c r="C34" s="2">
        <v>2.5</v>
      </c>
      <c r="D34" s="7"/>
      <c r="M34" s="2" t="s">
        <v>41</v>
      </c>
      <c r="N34" s="2">
        <f>intgrl_cp_shell/(T_out_shell-T_in_shell)</f>
        <v>2.4219500000000003</v>
      </c>
    </row>
    <row r="35" spans="2:15" x14ac:dyDescent="0.2">
      <c r="B35" s="2">
        <v>229</v>
      </c>
      <c r="C35" s="2">
        <v>2.52</v>
      </c>
      <c r="D35" s="7"/>
      <c r="M35" s="2" t="s">
        <v>262</v>
      </c>
      <c r="N35" s="2">
        <f>C28</f>
        <v>2.3199999999999998</v>
      </c>
    </row>
    <row r="36" spans="2:15" x14ac:dyDescent="0.2">
      <c r="B36" s="2">
        <v>234</v>
      </c>
      <c r="C36" s="2">
        <v>2.5499999999999998</v>
      </c>
      <c r="D36" s="7"/>
      <c r="M36" s="2" t="s">
        <v>263</v>
      </c>
      <c r="N36" s="2">
        <f>C36</f>
        <v>2.5499999999999998</v>
      </c>
    </row>
    <row r="40" spans="2:15" ht="16" x14ac:dyDescent="0.2">
      <c r="B40" s="150" t="s">
        <v>30</v>
      </c>
      <c r="C40" s="150"/>
      <c r="D40" s="150"/>
    </row>
    <row r="41" spans="2:15" x14ac:dyDescent="0.2">
      <c r="B41" s="2" t="s">
        <v>20</v>
      </c>
      <c r="C41" s="2" t="s">
        <v>21</v>
      </c>
      <c r="D41" s="2" t="s">
        <v>21</v>
      </c>
    </row>
    <row r="42" spans="2:15" x14ac:dyDescent="0.2">
      <c r="B42" s="2" t="s">
        <v>16</v>
      </c>
      <c r="C42" s="2" t="s">
        <v>32</v>
      </c>
      <c r="D42" s="2" t="s">
        <v>25</v>
      </c>
    </row>
    <row r="43" spans="2:15" x14ac:dyDescent="0.2">
      <c r="B43" s="2">
        <v>278.39999999999998</v>
      </c>
      <c r="C43" s="2">
        <f>D43/1000</f>
        <v>9.2999999999999997E-5</v>
      </c>
      <c r="D43" s="2">
        <v>9.2999999999999999E-2</v>
      </c>
      <c r="H43" s="7"/>
    </row>
    <row r="44" spans="2:15" x14ac:dyDescent="0.2">
      <c r="B44" s="2">
        <v>272.39999999999998</v>
      </c>
      <c r="C44" s="2">
        <f t="shared" ref="C44:C56" si="0">D44/1000</f>
        <v>9.800000000000001E-5</v>
      </c>
      <c r="D44" s="2">
        <v>9.8000000000000004E-2</v>
      </c>
      <c r="H44" s="7"/>
    </row>
    <row r="45" spans="2:15" x14ac:dyDescent="0.2">
      <c r="B45" s="2">
        <v>266.39999999999998</v>
      </c>
      <c r="C45" s="2">
        <f t="shared" si="0"/>
        <v>1.02E-4</v>
      </c>
      <c r="D45" s="2">
        <v>0.10199999999999999</v>
      </c>
      <c r="H45" s="7"/>
    </row>
    <row r="46" spans="2:15" x14ac:dyDescent="0.2">
      <c r="B46" s="2">
        <v>260.39999999999998</v>
      </c>
      <c r="C46" s="2">
        <f t="shared" si="0"/>
        <v>1.07E-4</v>
      </c>
      <c r="D46" s="2">
        <v>0.107</v>
      </c>
      <c r="H46" s="7"/>
      <c r="N46" s="2" t="s">
        <v>73</v>
      </c>
      <c r="O46" s="2">
        <v>-8.9999999999999996E-7</v>
      </c>
    </row>
    <row r="47" spans="2:15" x14ac:dyDescent="0.2">
      <c r="B47" s="2">
        <v>254.4</v>
      </c>
      <c r="C47" s="2">
        <f t="shared" si="0"/>
        <v>1.12E-4</v>
      </c>
      <c r="D47" s="2">
        <v>0.112</v>
      </c>
      <c r="H47" s="7"/>
      <c r="N47" s="2" t="s">
        <v>74</v>
      </c>
      <c r="O47" s="2">
        <v>2.9999999999999997E-4</v>
      </c>
    </row>
    <row r="48" spans="2:15" x14ac:dyDescent="0.2">
      <c r="B48" s="2">
        <v>248.4</v>
      </c>
      <c r="C48" s="2">
        <f t="shared" si="0"/>
        <v>1.1700000000000001E-4</v>
      </c>
      <c r="D48" s="2">
        <v>0.11700000000000001</v>
      </c>
      <c r="H48" s="7"/>
      <c r="N48" s="2" t="s">
        <v>75</v>
      </c>
      <c r="O48" s="2">
        <f>(1/2*(a_mu_tube)*((T_in_tube)^2-(T_out_tube)^2)+b_mu_tube*(T_in_tube-T_out_tube))</f>
        <v>6.2860980000000004E-3</v>
      </c>
    </row>
    <row r="49" spans="2:15" x14ac:dyDescent="0.2">
      <c r="B49" s="2">
        <v>242.4</v>
      </c>
      <c r="C49" s="2">
        <f t="shared" si="0"/>
        <v>1.22E-4</v>
      </c>
      <c r="D49" s="2">
        <v>0.122</v>
      </c>
      <c r="H49" s="7"/>
      <c r="N49" s="2" t="s">
        <v>76</v>
      </c>
      <c r="O49" s="2">
        <f>intgrl_mu_tube/(T_in_tube-T_out_tube)</f>
        <v>8.3370000000000023E-5</v>
      </c>
    </row>
    <row r="50" spans="2:15" x14ac:dyDescent="0.2">
      <c r="B50" s="2">
        <v>236.4</v>
      </c>
      <c r="C50" s="2">
        <f t="shared" si="0"/>
        <v>1.27E-4</v>
      </c>
      <c r="D50" s="2">
        <v>0.127</v>
      </c>
      <c r="H50" s="7"/>
      <c r="N50" s="2" t="s">
        <v>79</v>
      </c>
      <c r="O50" s="2">
        <f>C43</f>
        <v>9.2999999999999997E-5</v>
      </c>
    </row>
    <row r="51" spans="2:15" x14ac:dyDescent="0.2">
      <c r="B51" s="2">
        <v>230.4</v>
      </c>
      <c r="C51" s="2">
        <f t="shared" si="0"/>
        <v>1.3300000000000001E-4</v>
      </c>
      <c r="D51" s="2">
        <v>0.13300000000000001</v>
      </c>
      <c r="H51" s="7"/>
      <c r="N51" s="2" t="s">
        <v>80</v>
      </c>
      <c r="O51" s="2">
        <f>C56</f>
        <v>1.6000000000000001E-4</v>
      </c>
    </row>
    <row r="52" spans="2:15" x14ac:dyDescent="0.2">
      <c r="B52" s="2">
        <v>224.4</v>
      </c>
      <c r="C52" s="2">
        <f t="shared" si="0"/>
        <v>1.3800000000000002E-4</v>
      </c>
      <c r="D52" s="2">
        <v>0.13800000000000001</v>
      </c>
      <c r="H52" s="7"/>
      <c r="N52" s="2" t="s">
        <v>97</v>
      </c>
      <c r="O52" s="2">
        <f>(mu_tube_in+mu_tube_out)/2</f>
        <v>1.2650000000000001E-4</v>
      </c>
    </row>
    <row r="53" spans="2:15" x14ac:dyDescent="0.2">
      <c r="B53" s="2">
        <v>218.4</v>
      </c>
      <c r="C53" s="2">
        <f t="shared" si="0"/>
        <v>1.4399999999999998E-4</v>
      </c>
      <c r="D53" s="2">
        <v>0.14399999999999999</v>
      </c>
      <c r="H53" s="7"/>
    </row>
    <row r="54" spans="2:15" x14ac:dyDescent="0.2">
      <c r="B54" s="2">
        <v>212.4</v>
      </c>
      <c r="C54" s="2">
        <f t="shared" si="0"/>
        <v>1.4999999999999999E-4</v>
      </c>
      <c r="D54" s="2">
        <v>0.15</v>
      </c>
      <c r="H54" s="7"/>
    </row>
    <row r="55" spans="2:15" x14ac:dyDescent="0.2">
      <c r="B55" s="2">
        <v>207.4</v>
      </c>
      <c r="C55" s="2">
        <f t="shared" si="0"/>
        <v>1.56E-4</v>
      </c>
      <c r="D55" s="2">
        <v>0.156</v>
      </c>
      <c r="H55" s="7"/>
    </row>
    <row r="56" spans="2:15" x14ac:dyDescent="0.2">
      <c r="B56" s="2">
        <v>203.4</v>
      </c>
      <c r="C56" s="2">
        <f t="shared" si="0"/>
        <v>1.6000000000000001E-4</v>
      </c>
      <c r="D56" s="2">
        <v>0.16</v>
      </c>
      <c r="H56" s="7"/>
    </row>
    <row r="57" spans="2:15" x14ac:dyDescent="0.2">
      <c r="H57" s="7"/>
    </row>
    <row r="59" spans="2:15" ht="16" x14ac:dyDescent="0.2">
      <c r="B59" s="150" t="s">
        <v>31</v>
      </c>
      <c r="C59" s="150"/>
      <c r="D59" s="150"/>
    </row>
    <row r="60" spans="2:15" x14ac:dyDescent="0.2">
      <c r="B60" s="2" t="s">
        <v>20</v>
      </c>
      <c r="C60" s="2" t="s">
        <v>33</v>
      </c>
      <c r="D60" s="2" t="s">
        <v>21</v>
      </c>
    </row>
    <row r="61" spans="2:15" x14ac:dyDescent="0.2">
      <c r="B61" s="2" t="s">
        <v>16</v>
      </c>
      <c r="C61" s="2" t="s">
        <v>32</v>
      </c>
      <c r="D61" s="2" t="s">
        <v>25</v>
      </c>
    </row>
    <row r="62" spans="2:15" x14ac:dyDescent="0.2">
      <c r="B62" s="2">
        <v>189</v>
      </c>
      <c r="C62" s="2">
        <f>D62/1000</f>
        <v>1.66E-4</v>
      </c>
      <c r="D62" s="2">
        <v>0.16600000000000001</v>
      </c>
    </row>
    <row r="63" spans="2:15" x14ac:dyDescent="0.2">
      <c r="B63" s="2">
        <v>195</v>
      </c>
      <c r="C63" s="2">
        <f t="shared" ref="C63:C70" si="1">D63/1000</f>
        <v>1.5900000000000002E-4</v>
      </c>
      <c r="D63" s="2">
        <v>0.159</v>
      </c>
    </row>
    <row r="64" spans="2:15" x14ac:dyDescent="0.2">
      <c r="B64" s="2">
        <v>201</v>
      </c>
      <c r="C64" s="2">
        <f>D64/1000</f>
        <v>1.5200000000000001E-4</v>
      </c>
      <c r="D64" s="2">
        <v>0.152</v>
      </c>
    </row>
    <row r="65" spans="2:15" x14ac:dyDescent="0.2">
      <c r="B65" s="2">
        <v>207</v>
      </c>
      <c r="C65" s="2">
        <f t="shared" si="1"/>
        <v>1.46E-4</v>
      </c>
      <c r="D65" s="2">
        <v>0.14599999999999999</v>
      </c>
    </row>
    <row r="66" spans="2:15" x14ac:dyDescent="0.2">
      <c r="B66" s="2">
        <v>213</v>
      </c>
      <c r="C66" s="2">
        <f t="shared" si="1"/>
        <v>1.4000000000000001E-4</v>
      </c>
      <c r="D66" s="2">
        <v>0.14000000000000001</v>
      </c>
      <c r="N66" s="2" t="s">
        <v>249</v>
      </c>
      <c r="O66" s="2">
        <f>C62</f>
        <v>1.66E-4</v>
      </c>
    </row>
    <row r="67" spans="2:15" x14ac:dyDescent="0.2">
      <c r="B67" s="2">
        <v>219</v>
      </c>
      <c r="C67" s="2">
        <f t="shared" si="1"/>
        <v>1.34E-4</v>
      </c>
      <c r="D67" s="2">
        <v>0.13400000000000001</v>
      </c>
      <c r="N67" s="2" t="s">
        <v>250</v>
      </c>
      <c r="O67" s="2">
        <f>C70</f>
        <v>1.21E-4</v>
      </c>
    </row>
    <row r="68" spans="2:15" x14ac:dyDescent="0.2">
      <c r="B68" s="2">
        <v>225</v>
      </c>
      <c r="C68" s="2">
        <f t="shared" si="1"/>
        <v>1.2899999999999999E-4</v>
      </c>
      <c r="D68" s="2">
        <v>0.129</v>
      </c>
      <c r="N68" s="2" t="s">
        <v>251</v>
      </c>
      <c r="O68" s="2">
        <f xml:space="preserve"> AVERAGE(mu_shell_in,mu_shell_out)</f>
        <v>1.4349999999999999E-4</v>
      </c>
    </row>
    <row r="69" spans="2:15" x14ac:dyDescent="0.2">
      <c r="B69" s="2">
        <v>229</v>
      </c>
      <c r="C69" s="2">
        <f t="shared" si="1"/>
        <v>1.25E-4</v>
      </c>
      <c r="D69" s="2">
        <v>0.125</v>
      </c>
    </row>
    <row r="70" spans="2:15" x14ac:dyDescent="0.2">
      <c r="B70" s="2">
        <v>234</v>
      </c>
      <c r="C70" s="2">
        <f t="shared" si="1"/>
        <v>1.21E-4</v>
      </c>
      <c r="D70" s="2">
        <v>0.121</v>
      </c>
    </row>
    <row r="74" spans="2:15" ht="16" x14ac:dyDescent="0.2">
      <c r="B74" s="150" t="s">
        <v>30</v>
      </c>
      <c r="C74" s="150"/>
    </row>
    <row r="75" spans="2:15" x14ac:dyDescent="0.2">
      <c r="B75" s="2" t="s">
        <v>20</v>
      </c>
      <c r="C75" s="2" t="s">
        <v>22</v>
      </c>
    </row>
    <row r="76" spans="2:15" x14ac:dyDescent="0.2">
      <c r="B76" s="2" t="s">
        <v>16</v>
      </c>
      <c r="C76" s="2" t="s">
        <v>26</v>
      </c>
    </row>
    <row r="77" spans="2:15" x14ac:dyDescent="0.2">
      <c r="B77" s="2">
        <v>278.39999999999998</v>
      </c>
      <c r="C77" s="2">
        <v>597.4</v>
      </c>
    </row>
    <row r="78" spans="2:15" x14ac:dyDescent="0.2">
      <c r="B78" s="2">
        <v>272.39999999999998</v>
      </c>
      <c r="C78" s="2">
        <v>606.5</v>
      </c>
      <c r="N78" s="2" t="s">
        <v>89</v>
      </c>
      <c r="O78" s="2">
        <f>C77</f>
        <v>597.4</v>
      </c>
    </row>
    <row r="79" spans="2:15" x14ac:dyDescent="0.2">
      <c r="B79" s="2">
        <v>266.39999999999998</v>
      </c>
      <c r="C79" s="2">
        <v>615.29999999999995</v>
      </c>
      <c r="N79" s="2" t="s">
        <v>90</v>
      </c>
      <c r="O79" s="2">
        <f>C90</f>
        <v>692.7</v>
      </c>
    </row>
    <row r="80" spans="2:15" x14ac:dyDescent="0.2">
      <c r="B80" s="2">
        <v>260.39999999999998</v>
      </c>
      <c r="C80" s="2">
        <v>623.70000000000005</v>
      </c>
      <c r="N80" s="2" t="s">
        <v>91</v>
      </c>
      <c r="O80" s="2">
        <f>(dens_tube_in+dens_tube_out)/2</f>
        <v>645.04999999999995</v>
      </c>
    </row>
    <row r="81" spans="2:3" x14ac:dyDescent="0.2">
      <c r="B81" s="2">
        <v>254.4</v>
      </c>
      <c r="C81" s="2">
        <v>631.9</v>
      </c>
    </row>
    <row r="82" spans="2:3" x14ac:dyDescent="0.2">
      <c r="B82" s="2">
        <v>248.4</v>
      </c>
      <c r="C82" s="2">
        <v>639.70000000000005</v>
      </c>
    </row>
    <row r="83" spans="2:3" x14ac:dyDescent="0.2">
      <c r="B83" s="2">
        <v>242.4</v>
      </c>
      <c r="C83" s="2">
        <v>647.4</v>
      </c>
    </row>
    <row r="84" spans="2:3" x14ac:dyDescent="0.2">
      <c r="B84" s="2">
        <v>236.4</v>
      </c>
      <c r="C84" s="2">
        <v>654.79999999999995</v>
      </c>
    </row>
    <row r="85" spans="2:3" x14ac:dyDescent="0.2">
      <c r="B85" s="2">
        <v>230.4</v>
      </c>
      <c r="C85" s="2">
        <v>662</v>
      </c>
    </row>
    <row r="86" spans="2:3" x14ac:dyDescent="0.2">
      <c r="B86" s="2">
        <v>224.4</v>
      </c>
      <c r="C86" s="2">
        <v>669.1</v>
      </c>
    </row>
    <row r="87" spans="2:3" x14ac:dyDescent="0.2">
      <c r="B87" s="2">
        <v>218.4</v>
      </c>
      <c r="C87" s="2">
        <v>676</v>
      </c>
    </row>
    <row r="88" spans="2:3" x14ac:dyDescent="0.2">
      <c r="B88" s="2">
        <v>212.4</v>
      </c>
      <c r="C88" s="2">
        <v>682.8</v>
      </c>
    </row>
    <row r="89" spans="2:3" x14ac:dyDescent="0.2">
      <c r="B89" s="2">
        <v>207.4</v>
      </c>
      <c r="C89" s="2">
        <v>688.4</v>
      </c>
    </row>
    <row r="90" spans="2:3" x14ac:dyDescent="0.2">
      <c r="B90" s="2">
        <v>203.4</v>
      </c>
      <c r="C90" s="2">
        <v>692.7</v>
      </c>
    </row>
    <row r="94" spans="2:3" ht="16" x14ac:dyDescent="0.2">
      <c r="B94" s="150" t="s">
        <v>31</v>
      </c>
      <c r="C94" s="150"/>
    </row>
    <row r="95" spans="2:3" x14ac:dyDescent="0.2">
      <c r="B95" s="2" t="s">
        <v>20</v>
      </c>
      <c r="C95" s="2" t="s">
        <v>22</v>
      </c>
    </row>
    <row r="96" spans="2:3" x14ac:dyDescent="0.2">
      <c r="B96" s="2" t="s">
        <v>16</v>
      </c>
      <c r="C96" s="2" t="s">
        <v>26</v>
      </c>
    </row>
    <row r="97" spans="2:15" x14ac:dyDescent="0.2">
      <c r="B97" s="2">
        <v>189</v>
      </c>
      <c r="C97" s="2">
        <v>710.2</v>
      </c>
    </row>
    <row r="98" spans="2:15" x14ac:dyDescent="0.2">
      <c r="B98" s="2">
        <v>195</v>
      </c>
      <c r="C98" s="2">
        <v>703.7</v>
      </c>
    </row>
    <row r="99" spans="2:15" x14ac:dyDescent="0.2">
      <c r="B99" s="2">
        <v>201</v>
      </c>
      <c r="C99" s="2">
        <v>697</v>
      </c>
    </row>
    <row r="100" spans="2:15" x14ac:dyDescent="0.2">
      <c r="B100" s="2">
        <v>207</v>
      </c>
      <c r="C100" s="2">
        <v>690.2</v>
      </c>
    </row>
    <row r="101" spans="2:15" x14ac:dyDescent="0.2">
      <c r="B101" s="2">
        <v>213</v>
      </c>
      <c r="C101" s="2">
        <v>683.3</v>
      </c>
      <c r="N101" s="2" t="s">
        <v>245</v>
      </c>
      <c r="O101" s="2">
        <v>710.2</v>
      </c>
    </row>
    <row r="102" spans="2:15" x14ac:dyDescent="0.2">
      <c r="B102" s="2">
        <v>219</v>
      </c>
      <c r="C102" s="2">
        <v>676.3</v>
      </c>
      <c r="N102" s="2" t="s">
        <v>246</v>
      </c>
      <c r="O102" s="2">
        <v>658</v>
      </c>
    </row>
    <row r="103" spans="2:15" x14ac:dyDescent="0.2">
      <c r="B103" s="2">
        <v>225</v>
      </c>
      <c r="C103" s="2">
        <v>669.1</v>
      </c>
      <c r="N103" s="2" t="s">
        <v>247</v>
      </c>
      <c r="O103" s="2">
        <f>(density_shell_in+density_shell_out)/2</f>
        <v>684.1</v>
      </c>
    </row>
    <row r="104" spans="2:15" x14ac:dyDescent="0.2">
      <c r="B104" s="2">
        <v>229</v>
      </c>
      <c r="C104" s="2">
        <v>664.2</v>
      </c>
    </row>
    <row r="105" spans="2:15" x14ac:dyDescent="0.2">
      <c r="B105" s="2">
        <v>234</v>
      </c>
      <c r="C105" s="2">
        <v>658</v>
      </c>
    </row>
    <row r="110" spans="2:15" ht="16" x14ac:dyDescent="0.2">
      <c r="B110" s="150" t="s">
        <v>30</v>
      </c>
      <c r="C110" s="150"/>
    </row>
    <row r="111" spans="2:15" x14ac:dyDescent="0.2">
      <c r="B111" s="2" t="s">
        <v>20</v>
      </c>
      <c r="C111" s="2" t="s">
        <v>24</v>
      </c>
    </row>
    <row r="112" spans="2:15" x14ac:dyDescent="0.2">
      <c r="B112" s="2" t="s">
        <v>16</v>
      </c>
      <c r="C112" s="2" t="s">
        <v>28</v>
      </c>
    </row>
    <row r="113" spans="2:15" x14ac:dyDescent="0.2">
      <c r="B113" s="2">
        <v>278.39999999999998</v>
      </c>
      <c r="C113" s="2">
        <v>7.4899999999999994E-2</v>
      </c>
    </row>
    <row r="114" spans="2:15" x14ac:dyDescent="0.2">
      <c r="B114" s="2">
        <v>272.39999999999998</v>
      </c>
      <c r="C114" s="2">
        <v>7.5200000000000003E-2</v>
      </c>
    </row>
    <row r="115" spans="2:15" x14ac:dyDescent="0.2">
      <c r="B115" s="2">
        <v>266.39999999999998</v>
      </c>
      <c r="C115" s="2">
        <v>7.5600000000000001E-2</v>
      </c>
    </row>
    <row r="116" spans="2:15" x14ac:dyDescent="0.2">
      <c r="B116" s="2">
        <v>260.39999999999998</v>
      </c>
      <c r="C116" s="2">
        <v>7.5899999999999995E-2</v>
      </c>
    </row>
    <row r="117" spans="2:15" x14ac:dyDescent="0.2">
      <c r="B117" s="2">
        <v>254.4</v>
      </c>
      <c r="C117" s="2">
        <v>7.6300000000000007E-2</v>
      </c>
    </row>
    <row r="118" spans="2:15" x14ac:dyDescent="0.2">
      <c r="B118" s="2">
        <v>248.4</v>
      </c>
      <c r="C118" s="2">
        <v>7.6600000000000001E-2</v>
      </c>
      <c r="N118" s="2" t="s">
        <v>81</v>
      </c>
      <c r="O118" s="2">
        <f>C113</f>
        <v>7.4899999999999994E-2</v>
      </c>
    </row>
    <row r="119" spans="2:15" x14ac:dyDescent="0.2">
      <c r="B119" s="2">
        <v>242.4</v>
      </c>
      <c r="C119" s="2">
        <v>7.6999999999999999E-2</v>
      </c>
      <c r="N119" s="2" t="s">
        <v>82</v>
      </c>
      <c r="O119" s="2">
        <f>C126</f>
        <v>7.9399999999999998E-2</v>
      </c>
    </row>
    <row r="120" spans="2:15" x14ac:dyDescent="0.2">
      <c r="B120" s="2">
        <v>236.4</v>
      </c>
      <c r="C120" s="2">
        <v>7.7299999999999994E-2</v>
      </c>
      <c r="N120" s="2" t="s">
        <v>94</v>
      </c>
      <c r="O120" s="2">
        <f>(k_tube_in+k_tube_out)/2</f>
        <v>7.7149999999999996E-2</v>
      </c>
    </row>
    <row r="121" spans="2:15" x14ac:dyDescent="0.2">
      <c r="B121" s="2">
        <v>230.4</v>
      </c>
      <c r="C121" s="2">
        <v>7.7700000000000005E-2</v>
      </c>
    </row>
    <row r="122" spans="2:15" x14ac:dyDescent="0.2">
      <c r="B122" s="2">
        <v>224.4</v>
      </c>
      <c r="C122" s="2">
        <v>7.8E-2</v>
      </c>
    </row>
    <row r="123" spans="2:15" x14ac:dyDescent="0.2">
      <c r="B123" s="2">
        <v>218.4</v>
      </c>
      <c r="C123" s="2">
        <v>7.8399999999999997E-2</v>
      </c>
    </row>
    <row r="124" spans="2:15" x14ac:dyDescent="0.2">
      <c r="B124" s="2">
        <v>212.4</v>
      </c>
      <c r="C124" s="2">
        <v>7.8700000000000006E-2</v>
      </c>
    </row>
    <row r="125" spans="2:15" x14ac:dyDescent="0.2">
      <c r="B125" s="2">
        <v>207.4</v>
      </c>
      <c r="C125" s="2">
        <v>7.9000000000000001E-2</v>
      </c>
    </row>
    <row r="126" spans="2:15" x14ac:dyDescent="0.2">
      <c r="B126" s="2">
        <v>203.4</v>
      </c>
      <c r="C126" s="2">
        <v>7.9399999999999998E-2</v>
      </c>
    </row>
    <row r="130" spans="2:15" ht="16" x14ac:dyDescent="0.2">
      <c r="B130" s="150" t="s">
        <v>31</v>
      </c>
      <c r="C130" s="150"/>
    </row>
    <row r="131" spans="2:15" x14ac:dyDescent="0.2">
      <c r="B131" s="2" t="s">
        <v>20</v>
      </c>
      <c r="C131" s="2" t="s">
        <v>24</v>
      </c>
    </row>
    <row r="132" spans="2:15" x14ac:dyDescent="0.2">
      <c r="B132" s="2" t="s">
        <v>16</v>
      </c>
      <c r="C132" s="2" t="s">
        <v>28</v>
      </c>
    </row>
    <row r="133" spans="2:15" x14ac:dyDescent="0.2">
      <c r="B133" s="2">
        <v>189</v>
      </c>
      <c r="C133" s="2">
        <v>0.1007</v>
      </c>
    </row>
    <row r="134" spans="2:15" x14ac:dyDescent="0.2">
      <c r="B134" s="2">
        <v>195</v>
      </c>
      <c r="C134" s="2">
        <v>9.9099999999999994E-2</v>
      </c>
    </row>
    <row r="135" spans="2:15" x14ac:dyDescent="0.2">
      <c r="B135" s="2">
        <v>201</v>
      </c>
      <c r="C135" s="2">
        <v>9.7500000000000003E-2</v>
      </c>
    </row>
    <row r="136" spans="2:15" x14ac:dyDescent="0.2">
      <c r="B136" s="2">
        <v>207</v>
      </c>
      <c r="C136" s="2">
        <v>9.5799999999999996E-2</v>
      </c>
      <c r="N136" s="2" t="s">
        <v>264</v>
      </c>
      <c r="O136" s="2">
        <f>C133</f>
        <v>0.1007</v>
      </c>
    </row>
    <row r="137" spans="2:15" x14ac:dyDescent="0.2">
      <c r="B137" s="2">
        <v>213</v>
      </c>
      <c r="C137" s="2">
        <v>9.4100000000000003E-2</v>
      </c>
      <c r="N137" s="2" t="s">
        <v>265</v>
      </c>
      <c r="O137" s="2">
        <f>C141</f>
        <v>8.7999999999999995E-2</v>
      </c>
    </row>
    <row r="138" spans="2:15" x14ac:dyDescent="0.2">
      <c r="B138" s="2">
        <v>219</v>
      </c>
      <c r="C138" s="2">
        <v>9.2399999999999996E-2</v>
      </c>
      <c r="N138" s="2" t="s">
        <v>266</v>
      </c>
      <c r="O138" s="2">
        <f>AVERAGE(k_shell_in,k_shell_out)</f>
        <v>9.4349999999999989E-2</v>
      </c>
    </row>
    <row r="139" spans="2:15" x14ac:dyDescent="0.2">
      <c r="B139" s="2">
        <v>225</v>
      </c>
      <c r="C139" s="2">
        <v>9.0700000000000003E-2</v>
      </c>
    </row>
    <row r="140" spans="2:15" x14ac:dyDescent="0.2">
      <c r="B140" s="2">
        <v>229</v>
      </c>
      <c r="C140" s="2">
        <v>8.9499999999999996E-2</v>
      </c>
    </row>
    <row r="141" spans="2:15" x14ac:dyDescent="0.2">
      <c r="B141" s="2">
        <v>234</v>
      </c>
      <c r="C141" s="2">
        <v>8.7999999999999995E-2</v>
      </c>
    </row>
  </sheetData>
  <mergeCells count="9">
    <mergeCell ref="B94:C94"/>
    <mergeCell ref="B110:C110"/>
    <mergeCell ref="B130:C130"/>
    <mergeCell ref="B4:C4"/>
    <mergeCell ref="I2:L2"/>
    <mergeCell ref="B25:C25"/>
    <mergeCell ref="B40:D40"/>
    <mergeCell ref="B59:D59"/>
    <mergeCell ref="B74:C74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B4:N30"/>
  <sheetViews>
    <sheetView workbookViewId="0"/>
  </sheetViews>
  <sheetFormatPr baseColWidth="10" defaultColWidth="9.1640625" defaultRowHeight="15" x14ac:dyDescent="0.2"/>
  <cols>
    <col min="1" max="1" width="9.1640625" style="4"/>
    <col min="2" max="2" width="16.83203125" style="4" customWidth="1"/>
    <col min="3" max="3" width="8.1640625" style="4" customWidth="1"/>
    <col min="4" max="4" width="8.5" style="4" customWidth="1"/>
    <col min="5" max="5" width="4.33203125" style="4" customWidth="1"/>
    <col min="6" max="6" width="13.33203125" style="4" customWidth="1"/>
    <col min="7" max="7" width="17.83203125" style="4" customWidth="1"/>
    <col min="8" max="8" width="8.5" style="4" customWidth="1"/>
    <col min="9" max="9" width="11.33203125" style="4" customWidth="1"/>
    <col min="10" max="11" width="9.1640625" style="4"/>
    <col min="12" max="12" width="21.1640625" style="4" customWidth="1"/>
    <col min="13" max="13" width="9.1640625" style="4" customWidth="1"/>
    <col min="14" max="16384" width="9.1640625" style="4"/>
  </cols>
  <sheetData>
    <row r="4" spans="2:14" ht="16" x14ac:dyDescent="0.2">
      <c r="B4" s="152" t="s">
        <v>121</v>
      </c>
      <c r="C4" s="154"/>
      <c r="D4" s="153"/>
      <c r="L4" s="152" t="s">
        <v>581</v>
      </c>
      <c r="M4" s="154"/>
      <c r="N4" s="153"/>
    </row>
    <row r="5" spans="2:14" x14ac:dyDescent="0.2">
      <c r="B5" s="80" t="s">
        <v>562</v>
      </c>
      <c r="C5" s="79">
        <f>no_tube</f>
        <v>288</v>
      </c>
      <c r="D5" s="79"/>
      <c r="L5" s="93" t="s">
        <v>579</v>
      </c>
      <c r="M5" s="92">
        <f xml:space="preserve"> duty_req / (F_LMTD*LMTD*U_0)</f>
        <v>185.95633817429905</v>
      </c>
      <c r="N5" s="93" t="s">
        <v>59</v>
      </c>
    </row>
    <row r="6" spans="2:14" x14ac:dyDescent="0.2">
      <c r="B6" s="80" t="s">
        <v>563</v>
      </c>
      <c r="C6" s="79">
        <f>pass_tube</f>
        <v>4</v>
      </c>
      <c r="D6" s="79"/>
      <c r="G6" s="10" t="s">
        <v>560</v>
      </c>
      <c r="H6" s="8">
        <v>723.82626594091664</v>
      </c>
      <c r="I6" s="10" t="s">
        <v>585</v>
      </c>
      <c r="L6" s="93" t="s">
        <v>580</v>
      </c>
      <c r="M6" s="92">
        <f>LMTD_N*no_tube*L_tube*PI()*(OD_tube)</f>
        <v>206.83240721586048</v>
      </c>
      <c r="N6" s="93" t="s">
        <v>59</v>
      </c>
    </row>
    <row r="7" spans="2:14" x14ac:dyDescent="0.2">
      <c r="B7" s="80" t="s">
        <v>117</v>
      </c>
      <c r="C7" s="79">
        <f>tube_pitch</f>
        <v>2.5050000000000003E-2</v>
      </c>
      <c r="D7" s="80" t="s">
        <v>60</v>
      </c>
      <c r="L7" s="92" t="s">
        <v>577</v>
      </c>
      <c r="M7" s="92">
        <f>mdot_req_tube*avg_cp_tube*1000*(T_in_tube-T_out_tube)</f>
        <v>2614583.4638039991</v>
      </c>
      <c r="N7" s="93" t="s">
        <v>58</v>
      </c>
    </row>
    <row r="8" spans="2:14" x14ac:dyDescent="0.2">
      <c r="B8" s="80" t="s">
        <v>564</v>
      </c>
      <c r="C8" s="79">
        <f>velo_tube</f>
        <v>1.8095468948229509</v>
      </c>
      <c r="D8" s="80" t="s">
        <v>231</v>
      </c>
      <c r="L8" s="93" t="s">
        <v>578</v>
      </c>
      <c r="M8" s="92">
        <f>U_bell*F_LMTD*LMTD*A_actual</f>
        <v>2908105.1874579494</v>
      </c>
      <c r="N8" s="93" t="s">
        <v>58</v>
      </c>
    </row>
    <row r="9" spans="2:14" x14ac:dyDescent="0.2">
      <c r="B9" s="80" t="s">
        <v>271</v>
      </c>
      <c r="C9" s="79">
        <f>h_tube</f>
        <v>2150.5217261136577</v>
      </c>
      <c r="D9" s="93" t="s">
        <v>586</v>
      </c>
      <c r="L9" s="93" t="s">
        <v>583</v>
      </c>
      <c r="M9" s="92">
        <f>U_bell</f>
        <v>723.82626594091664</v>
      </c>
      <c r="N9" s="93" t="s">
        <v>586</v>
      </c>
    </row>
    <row r="10" spans="2:14" x14ac:dyDescent="0.2">
      <c r="L10" s="93" t="s">
        <v>582</v>
      </c>
      <c r="M10" s="92">
        <f xml:space="preserve"> 1/ (1/h_s + (OD_tube*LN(OD_tube/ID_tube)/(2*K_solid_tube)) + (OD_tube/ID_tube)*(1/h_tube))</f>
        <v>724.08589418389488</v>
      </c>
      <c r="N10" s="93" t="s">
        <v>586</v>
      </c>
    </row>
    <row r="11" spans="2:14" ht="16" x14ac:dyDescent="0.2">
      <c r="B11" s="152" t="s">
        <v>110</v>
      </c>
      <c r="C11" s="154"/>
      <c r="D11" s="153"/>
      <c r="L11" s="93" t="s">
        <v>584</v>
      </c>
      <c r="M11" s="92">
        <f>(U_clean-U_dirty)/(U_clean*U_dirty)</f>
        <v>4.9536749831430502E-7</v>
      </c>
      <c r="N11" s="92"/>
    </row>
    <row r="12" spans="2:14" x14ac:dyDescent="0.2">
      <c r="B12" s="80" t="s">
        <v>571</v>
      </c>
      <c r="C12" s="79">
        <f>LMTD_N</f>
        <v>2</v>
      </c>
      <c r="D12" s="79"/>
      <c r="L12" s="5"/>
      <c r="M12" s="5"/>
      <c r="N12" s="5"/>
    </row>
    <row r="13" spans="2:14" x14ac:dyDescent="0.2">
      <c r="B13" s="80" t="s">
        <v>565</v>
      </c>
      <c r="C13" s="79">
        <v>1</v>
      </c>
      <c r="D13" s="79"/>
      <c r="L13" s="5"/>
      <c r="M13" s="5"/>
      <c r="N13" s="5"/>
    </row>
    <row r="14" spans="2:14" x14ac:dyDescent="0.2">
      <c r="B14" s="80" t="s">
        <v>563</v>
      </c>
      <c r="C14" s="79">
        <f>pass_tube</f>
        <v>4</v>
      </c>
      <c r="D14" s="79"/>
    </row>
    <row r="15" spans="2:14" x14ac:dyDescent="0.2">
      <c r="B15" s="80" t="s">
        <v>117</v>
      </c>
      <c r="C15" s="79">
        <f>tube_pitch</f>
        <v>2.5050000000000003E-2</v>
      </c>
      <c r="D15" s="80" t="s">
        <v>60</v>
      </c>
      <c r="G15" s="10" t="s">
        <v>561</v>
      </c>
      <c r="H15" s="8">
        <f>U_bell</f>
        <v>723.82626594091664</v>
      </c>
      <c r="I15" s="10" t="s">
        <v>585</v>
      </c>
    </row>
    <row r="16" spans="2:14" x14ac:dyDescent="0.2">
      <c r="B16" s="80" t="s">
        <v>564</v>
      </c>
      <c r="C16" s="79">
        <f>vel_shell_avg</f>
        <v>0.91199675061473418</v>
      </c>
      <c r="D16" s="80" t="s">
        <v>231</v>
      </c>
      <c r="G16" s="2" t="s">
        <v>305</v>
      </c>
      <c r="H16" s="2">
        <f xml:space="preserve"> duty_design / (F_LMTD*LMTD*U_0*LMTD_N)</f>
        <v>102.27598599586449</v>
      </c>
      <c r="I16" s="2" t="s">
        <v>59</v>
      </c>
    </row>
    <row r="17" spans="2:13" x14ac:dyDescent="0.2">
      <c r="B17" s="80" t="s">
        <v>271</v>
      </c>
      <c r="C17" s="79">
        <f>h_s</f>
        <v>1354.7107076723037</v>
      </c>
      <c r="D17" s="93" t="s">
        <v>586</v>
      </c>
      <c r="G17" s="10" t="s">
        <v>588</v>
      </c>
      <c r="H17" s="8">
        <f>A_hex*LMTD_N</f>
        <v>204.55197199172898</v>
      </c>
      <c r="I17" s="10" t="s">
        <v>59</v>
      </c>
    </row>
    <row r="21" spans="2:13" ht="16" x14ac:dyDescent="0.2">
      <c r="B21" s="152" t="s">
        <v>558</v>
      </c>
      <c r="C21" s="154"/>
      <c r="D21" s="153"/>
      <c r="L21" s="152" t="s">
        <v>47</v>
      </c>
      <c r="M21" s="153"/>
    </row>
    <row r="22" spans="2:13" x14ac:dyDescent="0.2">
      <c r="B22" s="2" t="s">
        <v>43</v>
      </c>
      <c r="C22" s="2">
        <f>mdot_tube*avg_cp_tube*1000*(T_in_tube-T_out_tube)</f>
        <v>2876041.8101843991</v>
      </c>
      <c r="D22" s="2" t="s">
        <v>58</v>
      </c>
      <c r="L22" s="2" t="s">
        <v>47</v>
      </c>
      <c r="M22" s="2">
        <f>(((T_in_tube-T_out_shell) - (T_out_tube- T_in_shell))/LN( (T_in_tube-T_out_shell) / (T_out_tube- T_in_shell) ))</f>
        <v>26.338997070829816</v>
      </c>
    </row>
    <row r="23" spans="2:13" x14ac:dyDescent="0.2">
      <c r="B23" s="2" t="s">
        <v>44</v>
      </c>
      <c r="C23" s="2">
        <f>mdot_shell*avg_cp_shell*1000*(T_out_shell-T_in_shell)</f>
        <v>2850901.5645000008</v>
      </c>
      <c r="D23" s="2" t="s">
        <v>58</v>
      </c>
      <c r="L23" s="2" t="s">
        <v>54</v>
      </c>
      <c r="M23" s="2">
        <f>(T_in_tube-T_out_tube)/(T_out_shell-T_in_shell)</f>
        <v>1.675555555555555</v>
      </c>
    </row>
    <row r="24" spans="2:13" x14ac:dyDescent="0.2">
      <c r="B24" s="2" t="s">
        <v>42</v>
      </c>
      <c r="C24" s="2">
        <f>IF(duty_tube&gt;duty_shell, duty_tube,duty_shell)</f>
        <v>2876041.8101843991</v>
      </c>
      <c r="D24" s="78" t="s">
        <v>58</v>
      </c>
      <c r="L24" s="2" t="s">
        <v>55</v>
      </c>
      <c r="M24" s="2">
        <f>(T_out_shell-T_in_shell)/(T_in_tube-T_in_shell)</f>
        <v>0.50335570469798674</v>
      </c>
    </row>
    <row r="25" spans="2:13" x14ac:dyDescent="0.2">
      <c r="B25" s="2" t="s">
        <v>57</v>
      </c>
      <c r="C25" s="2">
        <f>IF(duty_tube&gt;duty_shell, avg_cp_tube,avg_cp_shell)</f>
        <v>2.62758</v>
      </c>
      <c r="D25" s="78" t="s">
        <v>559</v>
      </c>
      <c r="L25" s="2" t="s">
        <v>50</v>
      </c>
      <c r="M25" s="2">
        <f>SQRT((LMTD_R^2)+1)</f>
        <v>1.9512781502781926</v>
      </c>
    </row>
    <row r="26" spans="2:13" x14ac:dyDescent="0.2">
      <c r="B26" s="2" t="s">
        <v>45</v>
      </c>
      <c r="C26" s="2">
        <v>10</v>
      </c>
      <c r="D26" s="2"/>
      <c r="L26" s="8" t="s">
        <v>53</v>
      </c>
      <c r="M26" s="8">
        <v>2</v>
      </c>
    </row>
    <row r="27" spans="2:13" x14ac:dyDescent="0.2">
      <c r="B27" s="2" t="s">
        <v>46</v>
      </c>
      <c r="C27" s="2">
        <f>duty_max</f>
        <v>2876041.8101843991</v>
      </c>
      <c r="D27" s="78" t="s">
        <v>58</v>
      </c>
      <c r="L27" s="2" t="s">
        <v>51</v>
      </c>
      <c r="M27" s="2">
        <f xml:space="preserve"> ( (LMTD_P*LMTD_R-1)/(LMTD_P-1)  ) ^ (1/LMTD_N)</f>
        <v>0.56152944296387119</v>
      </c>
    </row>
    <row r="28" spans="2:13" x14ac:dyDescent="0.2">
      <c r="L28" s="2" t="s">
        <v>56</v>
      </c>
      <c r="M28" s="2">
        <f xml:space="preserve"> (1-Pkomaki) / (LMTD_R - Pkomaki)</f>
        <v>0.3935909150424361</v>
      </c>
    </row>
    <row r="29" spans="2:13" x14ac:dyDescent="0.2">
      <c r="L29" s="2" t="s">
        <v>52</v>
      </c>
      <c r="M29" s="2">
        <f xml:space="preserve"> (2/LMTD_Pprime - 1 - LMTD_R + komaki) / (2/LMTD_Pprime-1-LMTD_R-komaki)</f>
        <v>9.5848884033960431</v>
      </c>
    </row>
    <row r="30" spans="2:13" x14ac:dyDescent="0.2">
      <c r="L30" s="2" t="s">
        <v>48</v>
      </c>
      <c r="M30" s="2">
        <f>(komaki/(LMTD_R-1)*LN((1-LMTD_Pprime)/(1-LMTD_R*LMTD_Pprime)))/(LN(LMTD_A))</f>
        <v>0.73749308405763248</v>
      </c>
    </row>
  </sheetData>
  <mergeCells count="5">
    <mergeCell ref="L21:M21"/>
    <mergeCell ref="B21:D21"/>
    <mergeCell ref="B4:D4"/>
    <mergeCell ref="B11:D11"/>
    <mergeCell ref="L4:N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M72"/>
  <sheetViews>
    <sheetView workbookViewId="0">
      <selection sqref="A1:A12"/>
    </sheetView>
  </sheetViews>
  <sheetFormatPr baseColWidth="10" defaultColWidth="9.1640625" defaultRowHeight="15" x14ac:dyDescent="0.2"/>
  <cols>
    <col min="1" max="2" width="9.1640625" style="4"/>
    <col min="3" max="3" width="14" style="4" customWidth="1"/>
    <col min="4" max="4" width="11" style="4" bestFit="1" customWidth="1"/>
    <col min="5" max="5" width="10.5" style="4" customWidth="1"/>
    <col min="6" max="6" width="9.1640625" style="4"/>
    <col min="7" max="7" width="14.1640625" style="4" customWidth="1"/>
    <col min="8" max="8" width="9.1640625" style="4"/>
    <col min="9" max="9" width="12" style="4" bestFit="1" customWidth="1"/>
    <col min="10" max="10" width="8.83203125" style="4" customWidth="1"/>
    <col min="11" max="11" width="14.83203125" style="4" customWidth="1"/>
    <col min="12" max="12" width="14" style="4" customWidth="1"/>
    <col min="13" max="13" width="10.5" style="4" customWidth="1"/>
    <col min="14" max="16384" width="9.1640625" style="4"/>
  </cols>
  <sheetData>
    <row r="1" spans="1:13" ht="15.75" customHeight="1" x14ac:dyDescent="0.2">
      <c r="A1" s="155" t="s">
        <v>557</v>
      </c>
    </row>
    <row r="2" spans="1:13" ht="15.75" customHeight="1" x14ac:dyDescent="0.2">
      <c r="A2" s="155"/>
    </row>
    <row r="3" spans="1:13" ht="16" x14ac:dyDescent="0.2">
      <c r="A3" s="155"/>
      <c r="C3" s="152" t="s">
        <v>556</v>
      </c>
      <c r="D3" s="154"/>
      <c r="E3" s="153"/>
      <c r="G3" s="152" t="s">
        <v>350</v>
      </c>
      <c r="H3" s="154"/>
      <c r="I3" s="153"/>
      <c r="K3" s="152" t="s">
        <v>312</v>
      </c>
      <c r="L3" s="154"/>
      <c r="M3" s="153"/>
    </row>
    <row r="4" spans="1:13" ht="15.75" customHeight="1" x14ac:dyDescent="0.2">
      <c r="A4" s="155"/>
      <c r="C4" s="22" t="s">
        <v>242</v>
      </c>
      <c r="D4" s="22">
        <f>mdot_shell</f>
        <v>26.158000000000005</v>
      </c>
      <c r="E4" s="22" t="s">
        <v>9</v>
      </c>
      <c r="G4" s="77" t="s">
        <v>349</v>
      </c>
      <c r="H4" s="77">
        <v>2</v>
      </c>
      <c r="I4" s="77">
        <v>4</v>
      </c>
      <c r="K4" s="22" t="s">
        <v>322</v>
      </c>
      <c r="L4" s="22">
        <f>0.3*ID_shell</f>
        <v>0.16230455603109822</v>
      </c>
      <c r="M4" s="22" t="s">
        <v>60</v>
      </c>
    </row>
    <row r="5" spans="1:13" ht="15.75" customHeight="1" x14ac:dyDescent="0.2">
      <c r="A5" s="155"/>
      <c r="C5" s="8" t="s">
        <v>239</v>
      </c>
      <c r="D5" s="8">
        <f>tube_pitch</f>
        <v>2.5050000000000003E-2</v>
      </c>
      <c r="E5" s="8" t="s">
        <v>60</v>
      </c>
      <c r="G5" s="77" t="s">
        <v>347</v>
      </c>
      <c r="H5" s="77">
        <v>0.156</v>
      </c>
      <c r="I5" s="77">
        <v>0.158</v>
      </c>
      <c r="K5" s="22" t="s">
        <v>323</v>
      </c>
      <c r="L5" s="22">
        <f>0.6*ID_shell</f>
        <v>0.32460911206219645</v>
      </c>
      <c r="M5" s="22" t="s">
        <v>60</v>
      </c>
    </row>
    <row r="6" spans="1:13" ht="15.75" customHeight="1" thickBot="1" x14ac:dyDescent="0.25">
      <c r="A6" s="155"/>
      <c r="C6" s="22" t="s">
        <v>260</v>
      </c>
      <c r="D6" s="22">
        <v>1.4300000000000001E-3</v>
      </c>
      <c r="E6" s="22"/>
      <c r="G6" s="60" t="s">
        <v>348</v>
      </c>
      <c r="H6" s="60">
        <v>2.2909999999999999</v>
      </c>
      <c r="I6" s="60">
        <v>2.2629999999999999</v>
      </c>
      <c r="K6" s="8" t="s">
        <v>240</v>
      </c>
      <c r="L6" s="8">
        <v>0.25</v>
      </c>
      <c r="M6" s="8" t="s">
        <v>60</v>
      </c>
    </row>
    <row r="7" spans="1:13" ht="15.75" customHeight="1" x14ac:dyDescent="0.2">
      <c r="A7" s="155"/>
      <c r="C7" s="22" t="s">
        <v>139</v>
      </c>
      <c r="D7" s="22">
        <f>(T_in_shell+T_out_shell)/2</f>
        <v>211.5</v>
      </c>
      <c r="E7" s="22" t="s">
        <v>16</v>
      </c>
      <c r="G7" s="85" t="s">
        <v>347</v>
      </c>
      <c r="H7" s="85">
        <f>IF(pass_tube=2, H5,I5)</f>
        <v>0.158</v>
      </c>
      <c r="I7" s="85"/>
      <c r="K7" s="8" t="s">
        <v>252</v>
      </c>
      <c r="L7" s="8">
        <v>25</v>
      </c>
      <c r="M7" s="8" t="s">
        <v>253</v>
      </c>
    </row>
    <row r="8" spans="1:13" ht="15.75" customHeight="1" x14ac:dyDescent="0.2">
      <c r="A8" s="155"/>
      <c r="C8" s="22" t="s">
        <v>351</v>
      </c>
      <c r="D8" s="22">
        <f>OD_tube *((no_tube/IDBOUNDLE_k1)^(1/IDBOUNDLE_n1))</f>
        <v>0.52575761066369053</v>
      </c>
      <c r="E8" s="22"/>
      <c r="G8" s="77" t="s">
        <v>348</v>
      </c>
      <c r="H8" s="77">
        <f>IF(pass_tube=2,H6,I6)</f>
        <v>2.2629999999999999</v>
      </c>
      <c r="I8" s="77"/>
    </row>
    <row r="9" spans="1:13" ht="16" x14ac:dyDescent="0.2">
      <c r="A9" s="155"/>
      <c r="C9" s="8" t="s">
        <v>270</v>
      </c>
      <c r="D9" s="8">
        <f>boundle_dia+boundle_dia*0.01+0.01</f>
        <v>0.54101518677032745</v>
      </c>
      <c r="E9" s="8" t="s">
        <v>60</v>
      </c>
      <c r="K9" s="156" t="s">
        <v>540</v>
      </c>
      <c r="L9" s="157"/>
      <c r="M9" s="158"/>
    </row>
    <row r="10" spans="1:13" ht="15.75" customHeight="1" x14ac:dyDescent="0.2">
      <c r="A10" s="155"/>
      <c r="C10" s="22" t="s">
        <v>115</v>
      </c>
      <c r="D10" s="22">
        <f>thick_shell</f>
        <v>9.4999999999999998E-3</v>
      </c>
      <c r="E10" s="22"/>
      <c r="K10" s="47" t="s">
        <v>446</v>
      </c>
      <c r="L10" s="159">
        <v>0.4</v>
      </c>
      <c r="M10" s="160"/>
    </row>
    <row r="11" spans="1:13" ht="15.75" customHeight="1" x14ac:dyDescent="0.2">
      <c r="A11" s="155"/>
      <c r="K11" s="22" t="s">
        <v>445</v>
      </c>
      <c r="L11" s="159">
        <v>0.7</v>
      </c>
      <c r="M11" s="160"/>
    </row>
    <row r="12" spans="1:13" ht="15.75" customHeight="1" x14ac:dyDescent="0.2">
      <c r="A12" s="155"/>
      <c r="C12" s="152" t="s">
        <v>554</v>
      </c>
      <c r="D12" s="154"/>
      <c r="E12" s="153"/>
      <c r="G12" s="152" t="s">
        <v>552</v>
      </c>
      <c r="H12" s="154"/>
      <c r="I12" s="153"/>
    </row>
    <row r="13" spans="1:13" x14ac:dyDescent="0.2">
      <c r="A13" s="155" t="s">
        <v>238</v>
      </c>
      <c r="C13" s="22" t="s">
        <v>241</v>
      </c>
      <c r="D13" s="22">
        <f>(Pt_tube-OD_tube)*ID_shell*L_b_kern/Pt_tube</f>
        <v>3.2396118968283087E-2</v>
      </c>
      <c r="E13" s="22" t="s">
        <v>59</v>
      </c>
      <c r="G13" s="67" t="s">
        <v>257</v>
      </c>
      <c r="H13" s="67">
        <f>G_s_kern/density_shell_in</f>
        <v>1.1369225548340558</v>
      </c>
      <c r="I13" s="67" t="s">
        <v>231</v>
      </c>
    </row>
    <row r="14" spans="1:13" x14ac:dyDescent="0.2">
      <c r="A14" s="155"/>
      <c r="C14" s="22" t="s">
        <v>243</v>
      </c>
      <c r="D14" s="22">
        <f>mdot_shell/A_s_shell_kern</f>
        <v>807.44239844314643</v>
      </c>
      <c r="E14" s="22" t="s">
        <v>244</v>
      </c>
      <c r="G14" s="22" t="s">
        <v>256</v>
      </c>
      <c r="H14" s="22">
        <f>G_s_kern*d_e_kern/mu_shell_in</f>
        <v>111104.08618605405</v>
      </c>
      <c r="I14" s="22"/>
    </row>
    <row r="15" spans="1:13" x14ac:dyDescent="0.2">
      <c r="A15" s="155"/>
      <c r="C15" s="22" t="s">
        <v>248</v>
      </c>
      <c r="D15" s="22">
        <f>(1.27/OD_tube)*(Pt_tube^2-0.785* OD_tube^2)</f>
        <v>2.2841602500000002E-2</v>
      </c>
      <c r="E15" s="22"/>
      <c r="G15" s="22" t="s">
        <v>254</v>
      </c>
      <c r="H15" s="22">
        <v>2.2000000000000001E-3</v>
      </c>
      <c r="I15" s="22"/>
    </row>
    <row r="16" spans="1:13" x14ac:dyDescent="0.2">
      <c r="A16" s="155"/>
      <c r="G16" s="22" t="s">
        <v>255</v>
      </c>
      <c r="H16" s="22">
        <v>3.5000000000000003E-2</v>
      </c>
      <c r="I16" s="22"/>
    </row>
    <row r="17" spans="1:9" x14ac:dyDescent="0.2">
      <c r="A17" s="155"/>
      <c r="G17" s="22" t="s">
        <v>126</v>
      </c>
      <c r="H17" s="22">
        <f>cp_shell_in*1000*mu_shell_in/k_shell_in</f>
        <v>3.8244289970208545</v>
      </c>
      <c r="I17" s="22"/>
    </row>
    <row r="18" spans="1:9" x14ac:dyDescent="0.2">
      <c r="A18" s="155"/>
      <c r="G18" s="22" t="s">
        <v>130</v>
      </c>
      <c r="H18" s="22">
        <f>J_h_in*Re_shell_in_kern*Pr_in_shell_kern^1.3*(mu_shell_in/mu_wall_shell)^0.14</f>
        <v>1034.0877244916974</v>
      </c>
      <c r="I18" s="22"/>
    </row>
    <row r="19" spans="1:9" x14ac:dyDescent="0.2">
      <c r="A19" s="155"/>
      <c r="G19" s="22" t="s">
        <v>267</v>
      </c>
      <c r="H19" s="22">
        <f>nu_shell_in_kern*k_shell_in/d_e_kern</f>
        <v>4558.902286138371</v>
      </c>
      <c r="I19" s="22" t="s">
        <v>268</v>
      </c>
    </row>
    <row r="20" spans="1:9" x14ac:dyDescent="0.2">
      <c r="A20" s="155"/>
    </row>
    <row r="21" spans="1:9" ht="16" x14ac:dyDescent="0.2">
      <c r="A21" s="155"/>
      <c r="C21" s="152" t="s">
        <v>553</v>
      </c>
      <c r="D21" s="154"/>
      <c r="E21" s="153"/>
      <c r="G21" s="152" t="s">
        <v>555</v>
      </c>
      <c r="H21" s="154"/>
      <c r="I21" s="153"/>
    </row>
    <row r="22" spans="1:9" x14ac:dyDescent="0.2">
      <c r="A22" s="155"/>
      <c r="C22" s="22" t="s">
        <v>258</v>
      </c>
      <c r="D22" s="22">
        <f>G_s_kern/density_shell_out</f>
        <v>1.2271161070564536</v>
      </c>
      <c r="E22" s="22" t="s">
        <v>231</v>
      </c>
      <c r="G22" s="22" t="s">
        <v>271</v>
      </c>
      <c r="H22" s="22">
        <f>IF(h_shell_in_kern&lt;h_shell_out_kern, h_shell_in_kern*J_DSBaffle,h_shell_out_kern*J_DSBaffle)</f>
        <v>2972.1829367583528</v>
      </c>
      <c r="I22" s="22"/>
    </row>
    <row r="23" spans="1:9" x14ac:dyDescent="0.2">
      <c r="A23" s="155"/>
      <c r="C23" s="22" t="s">
        <v>259</v>
      </c>
      <c r="D23" s="22">
        <f>G_s_kern*d_e_kern/mu_shell_out</f>
        <v>152423.78766020638</v>
      </c>
      <c r="E23" s="22"/>
      <c r="G23" s="8" t="s">
        <v>321</v>
      </c>
      <c r="H23" s="8">
        <f xml:space="preserve"> 1/ (1/h_shell_kern+ fouling_shell/1000  + (OD_tube*LN(OD_tube/ID_tube)/(2*K_solid_tube)) + (OD_tube/ID_tube)*(fouling_tube/1000 + 1/h_tube))</f>
        <v>1020.5799347832808</v>
      </c>
      <c r="I23" s="8" t="s">
        <v>268</v>
      </c>
    </row>
    <row r="24" spans="1:9" x14ac:dyDescent="0.2">
      <c r="A24" s="155"/>
      <c r="C24" s="22" t="s">
        <v>254</v>
      </c>
      <c r="D24" s="22">
        <v>2E-3</v>
      </c>
      <c r="E24" s="22"/>
    </row>
    <row r="25" spans="1:9" x14ac:dyDescent="0.2">
      <c r="A25" s="155"/>
      <c r="C25" s="22" t="s">
        <v>255</v>
      </c>
      <c r="D25" s="22">
        <v>3.5000000000000003E-2</v>
      </c>
      <c r="E25" s="22"/>
    </row>
    <row r="26" spans="1:9" ht="16" x14ac:dyDescent="0.2">
      <c r="A26" s="155"/>
      <c r="C26" s="22" t="s">
        <v>126</v>
      </c>
      <c r="D26" s="22">
        <f>cp_shell_out*1000*mu_shell_out/k_shell_out</f>
        <v>3.5062500000000001</v>
      </c>
      <c r="E26" s="22" t="s">
        <v>261</v>
      </c>
      <c r="G26" s="152" t="s">
        <v>404</v>
      </c>
      <c r="H26" s="154"/>
      <c r="I26" s="153"/>
    </row>
    <row r="27" spans="1:9" ht="15.75" customHeight="1" x14ac:dyDescent="0.2">
      <c r="A27" s="155"/>
      <c r="C27" s="22" t="s">
        <v>130</v>
      </c>
      <c r="D27" s="22">
        <f>j_h_out*Re_shell_out_kern*Pr_out_shell_kern^1.3*(mu_shell_out/mu_wall_shell)^0.14</f>
        <v>1102.1009934856647</v>
      </c>
      <c r="E27" s="22"/>
      <c r="G27" s="22" t="s">
        <v>235</v>
      </c>
      <c r="H27" s="22">
        <f>8*AVERAGE(J_f_in,j_f_out)*(ID_shell/d_e_kern)*(L_tube/L_b_kern)*density_shell_avg*0.5*(AVERAGE(velo_shell_in_kern,velo_shell_out_kern))^2*(mu_shell_avg/mu_wall_shell)^-0.014</f>
        <v>78554.250774443164</v>
      </c>
      <c r="I27" s="22" t="s">
        <v>272</v>
      </c>
    </row>
    <row r="28" spans="1:9" x14ac:dyDescent="0.2">
      <c r="A28" s="155"/>
      <c r="C28" s="22" t="s">
        <v>269</v>
      </c>
      <c r="D28" s="22">
        <f>Nu_shell_out_kern*k_shell_out/d_e_kern</f>
        <v>4245.9756239405042</v>
      </c>
      <c r="E28" s="22" t="s">
        <v>268</v>
      </c>
      <c r="G28" s="69" t="s">
        <v>235</v>
      </c>
      <c r="H28" s="69">
        <f>H27/100000*J_ΔP_DSBaffle</f>
        <v>0.31421700309777267</v>
      </c>
      <c r="I28" s="69" t="s">
        <v>11</v>
      </c>
    </row>
    <row r="29" spans="1:9" x14ac:dyDescent="0.2">
      <c r="A29" s="155"/>
    </row>
    <row r="30" spans="1:9" x14ac:dyDescent="0.2">
      <c r="A30" s="155"/>
    </row>
    <row r="31" spans="1:9" x14ac:dyDescent="0.2">
      <c r="A31" s="84"/>
    </row>
    <row r="32" spans="1:9" x14ac:dyDescent="0.2">
      <c r="A32" s="84"/>
    </row>
    <row r="33" spans="1:13" ht="15.75" customHeight="1" x14ac:dyDescent="0.2">
      <c r="A33" s="155" t="s">
        <v>273</v>
      </c>
      <c r="C33" s="152" t="s">
        <v>551</v>
      </c>
      <c r="D33" s="154"/>
      <c r="E33" s="153"/>
      <c r="G33" s="152" t="s">
        <v>551</v>
      </c>
      <c r="H33" s="154"/>
      <c r="I33" s="153"/>
      <c r="K33" s="152" t="s">
        <v>539</v>
      </c>
      <c r="L33" s="153"/>
    </row>
    <row r="34" spans="1:13" x14ac:dyDescent="0.2">
      <c r="A34" s="155"/>
      <c r="C34" s="22" t="s">
        <v>275</v>
      </c>
      <c r="D34" s="22">
        <f>2*ACOS(1-2*baffle_cut/100)*180/PI()</f>
        <v>119.99999999999999</v>
      </c>
      <c r="E34" s="22" t="s">
        <v>123</v>
      </c>
      <c r="G34" s="22" t="s">
        <v>343</v>
      </c>
      <c r="H34" s="22">
        <f>A_mb</f>
        <v>4.1926793942446576E-2</v>
      </c>
      <c r="I34" s="22" t="s">
        <v>59</v>
      </c>
      <c r="K34" s="22" t="s">
        <v>352</v>
      </c>
      <c r="L34" s="22">
        <v>0.37</v>
      </c>
    </row>
    <row r="35" spans="1:13" x14ac:dyDescent="0.2">
      <c r="A35" s="155"/>
      <c r="C35" s="22" t="s">
        <v>324</v>
      </c>
      <c r="D35" s="22">
        <f>baffle_cut</f>
        <v>25</v>
      </c>
      <c r="E35" s="22" t="s">
        <v>253</v>
      </c>
      <c r="G35" s="22" t="s">
        <v>342</v>
      </c>
      <c r="H35" s="22">
        <f>mdot_shell/A_s_mb</f>
        <v>623.89697709553968</v>
      </c>
      <c r="I35" s="22" t="s">
        <v>344</v>
      </c>
      <c r="K35" s="22" t="s">
        <v>353</v>
      </c>
      <c r="L35" s="22">
        <v>-0.39500000000000002</v>
      </c>
    </row>
    <row r="36" spans="1:13" x14ac:dyDescent="0.2">
      <c r="A36" s="155"/>
      <c r="C36" s="22" t="s">
        <v>276</v>
      </c>
      <c r="D36" s="22">
        <f>IF(pass_tube&lt;&gt;1,(4*no_tube*C_1*tube_pitch^2/(PI()*(1-Ψ_n)))^0.5,(4*no_tube*C_1*tube_pitch^2/PI())^0.5)</f>
        <v>0.51427972984096881</v>
      </c>
      <c r="E36" s="22" t="s">
        <v>60</v>
      </c>
      <c r="G36" s="8" t="s">
        <v>345</v>
      </c>
      <c r="H36" s="8">
        <f>D_t*G_s/mu_shell_avg</f>
        <v>82823.954102230186</v>
      </c>
      <c r="I36" s="8"/>
      <c r="K36" s="22" t="s">
        <v>354</v>
      </c>
      <c r="L36" s="22">
        <v>1.1870000000000001</v>
      </c>
    </row>
    <row r="37" spans="1:13" x14ac:dyDescent="0.2">
      <c r="A37" s="155"/>
      <c r="C37" s="22" t="s">
        <v>277</v>
      </c>
      <c r="D37" s="22">
        <f>D_ctl+D_t</f>
        <v>0.53332972984096882</v>
      </c>
      <c r="E37" s="22" t="s">
        <v>60</v>
      </c>
      <c r="G37" s="8" t="s">
        <v>346</v>
      </c>
      <c r="H37" s="8">
        <f>G_s/density_shell_avg</f>
        <v>0.91199675061473418</v>
      </c>
      <c r="I37" s="8" t="s">
        <v>231</v>
      </c>
      <c r="K37" s="22" t="s">
        <v>355</v>
      </c>
      <c r="L37" s="22">
        <v>0.37</v>
      </c>
    </row>
    <row r="38" spans="1:13" x14ac:dyDescent="0.2">
      <c r="A38" s="155"/>
      <c r="C38" s="22" t="s">
        <v>325</v>
      </c>
      <c r="D38" s="22">
        <f>ROUND((D_otl)/0.0254+1,0)*0.0254</f>
        <v>0.55879999999999996</v>
      </c>
      <c r="E38" s="22" t="s">
        <v>60</v>
      </c>
      <c r="G38" s="22" t="s">
        <v>363</v>
      </c>
      <c r="H38" s="22">
        <f>AVERAGE(Pr_in_shell_kern,Pr_out_shell_kern)</f>
        <v>3.6653394985104271</v>
      </c>
      <c r="I38" s="22"/>
      <c r="K38" s="22" t="s">
        <v>357</v>
      </c>
      <c r="L38" s="22">
        <v>0.39100000000000001</v>
      </c>
    </row>
    <row r="39" spans="1:13" x14ac:dyDescent="0.2">
      <c r="A39" s="155"/>
      <c r="C39" s="22" t="s">
        <v>278</v>
      </c>
      <c r="D39" s="22">
        <f>OD_tube</f>
        <v>1.9050000000000001E-2</v>
      </c>
      <c r="E39" s="22" t="s">
        <v>60</v>
      </c>
      <c r="G39" s="22" t="s">
        <v>364</v>
      </c>
      <c r="H39" s="22">
        <f>avg_cp_shell*1000</f>
        <v>2421.9500000000003</v>
      </c>
      <c r="I39" s="22" t="s">
        <v>365</v>
      </c>
      <c r="K39" s="22" t="s">
        <v>356</v>
      </c>
      <c r="L39" s="22">
        <v>-0.14799999999999999</v>
      </c>
    </row>
    <row r="40" spans="1:13" ht="15" customHeight="1" x14ac:dyDescent="0.2">
      <c r="A40" s="155"/>
      <c r="C40" s="22" t="s">
        <v>279</v>
      </c>
      <c r="D40" s="22">
        <f>D_s-D_otl</f>
        <v>2.5470270159031139E-2</v>
      </c>
      <c r="E40" s="22" t="s">
        <v>60</v>
      </c>
      <c r="G40" s="22" t="s">
        <v>366</v>
      </c>
      <c r="H40" s="22">
        <f>(mu_shell_avg/0.000134)^0.14</f>
        <v>1.009635457905903</v>
      </c>
      <c r="I40" s="22"/>
      <c r="K40" s="22" t="s">
        <v>358</v>
      </c>
      <c r="L40" s="22">
        <v>6.3</v>
      </c>
    </row>
    <row r="41" spans="1:13" ht="15" customHeight="1" x14ac:dyDescent="0.2">
      <c r="A41" s="155"/>
      <c r="C41" s="22" t="s">
        <v>287</v>
      </c>
      <c r="D41" s="22">
        <v>1</v>
      </c>
      <c r="E41" s="22"/>
      <c r="G41" s="22" t="s">
        <v>397</v>
      </c>
      <c r="H41" s="22">
        <f>(mu_shell_avg/0.000132601)^(-0.14)</f>
        <v>0.9890022639419489</v>
      </c>
      <c r="I41" s="22"/>
      <c r="K41" s="22" t="s">
        <v>359</v>
      </c>
      <c r="L41" s="22">
        <v>0.378</v>
      </c>
    </row>
    <row r="42" spans="1:13" ht="15" customHeight="1" x14ac:dyDescent="0.2">
      <c r="A42" s="155"/>
      <c r="C42" s="22" t="s">
        <v>290</v>
      </c>
      <c r="D42" s="22">
        <v>0.13</v>
      </c>
      <c r="E42" s="22"/>
      <c r="G42" s="22" t="s">
        <v>368</v>
      </c>
      <c r="H42" s="22">
        <f>T_AVG_TUBE+((T_AVG_SHELL-T_AVG_TUBE)/(1+h_tube/h_shell_kern))</f>
        <v>223.75821876042198</v>
      </c>
      <c r="I42" s="22" t="s">
        <v>16</v>
      </c>
      <c r="K42" s="22" t="s">
        <v>360</v>
      </c>
      <c r="L42" s="22">
        <f>bell_a3/(1+0.14*(Re_s)^bell_a4)</f>
        <v>0.11587612382381812</v>
      </c>
    </row>
    <row r="43" spans="1:13" ht="15" customHeight="1" x14ac:dyDescent="0.2">
      <c r="A43" s="155"/>
      <c r="C43" s="22" t="s">
        <v>280</v>
      </c>
      <c r="D43" s="22">
        <f>2*ACOS(D_s/D_ctl*(1-2*B_C/100))/PI()*180</f>
        <v>114.18503434409094</v>
      </c>
      <c r="E43" s="22" t="s">
        <v>123</v>
      </c>
      <c r="G43" s="22" t="s">
        <v>367</v>
      </c>
      <c r="H43" s="22">
        <f>bell_j_i*Cp_s*G_s*Pr_s^(-2/3)*phi_r</f>
        <v>2713.1195460556196</v>
      </c>
      <c r="I43" s="22"/>
      <c r="K43" s="22" t="s">
        <v>361</v>
      </c>
      <c r="L43" s="22">
        <f>bell_a1*((1.33/(L_tp/D_t))^bell_a)*(Re_s)^bell_a2</f>
        <v>4.2276830355666845E-3</v>
      </c>
    </row>
    <row r="44" spans="1:13" ht="15" customHeight="1" x14ac:dyDescent="0.2">
      <c r="A44" s="155"/>
      <c r="C44" s="22" t="s">
        <v>281</v>
      </c>
      <c r="D44" s="22">
        <f>2*ACOS(D_s/D_otl*(1-2*B_C/100))/PI()*180</f>
        <v>116.81444453736427</v>
      </c>
      <c r="E44" s="22" t="s">
        <v>123</v>
      </c>
      <c r="G44" s="22" t="s">
        <v>369</v>
      </c>
      <c r="H44" s="22">
        <f>1-2*F_w</f>
        <v>0.65600962058785905</v>
      </c>
      <c r="I44" s="22"/>
      <c r="K44" s="22" t="s">
        <v>131</v>
      </c>
      <c r="L44" s="22">
        <f>bell_b3/(1+0.14*((Re_s)^bell_b4))</f>
        <v>0.5665343252969236</v>
      </c>
    </row>
    <row r="45" spans="1:13" ht="15" customHeight="1" x14ac:dyDescent="0.2">
      <c r="A45" s="155"/>
      <c r="C45" s="22" t="s">
        <v>282</v>
      </c>
      <c r="D45" s="22">
        <f>PI()/4*D_s^2*(Ѳ_ds/360-SIN(Ѳ_ds*PI()/180)/(2*PI()))</f>
        <v>4.794594718264273E-2</v>
      </c>
      <c r="E45" s="22" t="s">
        <v>59</v>
      </c>
      <c r="G45" s="22" t="s">
        <v>370</v>
      </c>
      <c r="H45" s="22">
        <f>0.55+0.72*F_C</f>
        <v>1.0223269268232587</v>
      </c>
      <c r="I45" s="22"/>
      <c r="K45" s="22" t="s">
        <v>362</v>
      </c>
      <c r="L45" s="22">
        <f>bell_b1*((1.33/(L_tp/D_t))^bell_b)*Re_s^bell_b2</f>
        <v>7.3635582454251738E-2</v>
      </c>
    </row>
    <row r="46" spans="1:13" ht="15" customHeight="1" x14ac:dyDescent="0.2">
      <c r="A46" s="155"/>
      <c r="C46" s="22" t="s">
        <v>283</v>
      </c>
      <c r="D46" s="22">
        <f>Ѳ_ctl/360-SIN(Ѳ_ctl*PI()/180)/2/PI()</f>
        <v>0.17199518970607047</v>
      </c>
      <c r="E46" s="22"/>
      <c r="G46" s="22" t="s">
        <v>371</v>
      </c>
      <c r="H46" s="22">
        <f>(A_sb+A_tb)/A_mb</f>
        <v>0.19559832737298011</v>
      </c>
      <c r="I46" s="22"/>
    </row>
    <row r="47" spans="1:13" ht="15" customHeight="1" x14ac:dyDescent="0.2">
      <c r="A47" s="155"/>
      <c r="C47" s="22" t="s">
        <v>284</v>
      </c>
      <c r="D47" s="22">
        <f>N_tw*D_t^2*PI()/4</f>
        <v>1.4118502336843138E-2</v>
      </c>
      <c r="E47" s="22" t="s">
        <v>59</v>
      </c>
      <c r="G47" s="22" t="s">
        <v>372</v>
      </c>
      <c r="H47" s="22">
        <f>PI()/4*((D_t+L_tb)^2-D_t^2)*no_tube*(1-F_w)</f>
        <v>7.3230497798411559E-3</v>
      </c>
      <c r="I47" s="22"/>
    </row>
    <row r="48" spans="1:13" ht="15" customHeight="1" x14ac:dyDescent="0.2">
      <c r="A48" s="155"/>
      <c r="C48" s="22" t="s">
        <v>285</v>
      </c>
      <c r="D48" s="22">
        <f>F_w*no_tube</f>
        <v>49.534614635348298</v>
      </c>
      <c r="E48" s="22"/>
      <c r="G48" s="22" t="s">
        <v>373</v>
      </c>
      <c r="H48" s="22">
        <f>A_sb/(A_sb+A_tb)</f>
        <v>0.10703344002496555</v>
      </c>
      <c r="I48" s="22"/>
      <c r="K48" s="150" t="s">
        <v>541</v>
      </c>
      <c r="L48" s="150"/>
      <c r="M48" s="150"/>
    </row>
    <row r="49" spans="1:13" ht="15" customHeight="1" x14ac:dyDescent="0.2">
      <c r="A49" s="155"/>
      <c r="C49" s="22" t="s">
        <v>286</v>
      </c>
      <c r="D49" s="22">
        <f>A_wg-A_wt</f>
        <v>3.3827444845799595E-2</v>
      </c>
      <c r="E49" s="22" t="s">
        <v>59</v>
      </c>
      <c r="G49" s="22" t="s">
        <v>374</v>
      </c>
      <c r="H49" s="22">
        <f>0.44*(1-r_s)+(0.56+0.44*r_s)*EXP(-2.2*r_lm)</f>
        <v>0.78770101732531006</v>
      </c>
      <c r="I49" s="22"/>
      <c r="K49" s="8" t="s">
        <v>391</v>
      </c>
      <c r="L49" s="8">
        <f xml:space="preserve"> 1/ (1/h_s+ fouling_shell/1000  + (OD_tube*LN(OD_tube/ID_tube)/(2*K_solid_tube)) + (OD_tube/ID_tube)*(fouling_tube/1000 + 1/h_tube))</f>
        <v>723.82626594091664</v>
      </c>
      <c r="M49" s="8" t="s">
        <v>268</v>
      </c>
    </row>
    <row r="50" spans="1:13" ht="15" customHeight="1" x14ac:dyDescent="0.2">
      <c r="A50" s="155"/>
      <c r="C50" s="22" t="s">
        <v>288</v>
      </c>
      <c r="D50" s="22">
        <f>tube_pitch</f>
        <v>2.5050000000000003E-2</v>
      </c>
      <c r="E50" s="22" t="s">
        <v>60</v>
      </c>
      <c r="G50" s="22" t="s">
        <v>375</v>
      </c>
      <c r="H50" s="22">
        <f>EXP(-1.33*(1+r_s)*r_lm^P_bell)</f>
        <v>0.59254320739005883</v>
      </c>
      <c r="I50" s="22"/>
    </row>
    <row r="51" spans="1:13" ht="15" customHeight="1" x14ac:dyDescent="0.2">
      <c r="A51" s="155"/>
      <c r="C51" s="22" t="s">
        <v>289</v>
      </c>
      <c r="D51" s="22">
        <f>no_tube*LMTD_N*(1-Ψ_n)</f>
        <v>501.12</v>
      </c>
      <c r="E51" s="22"/>
      <c r="G51" s="22" t="s">
        <v>376</v>
      </c>
      <c r="H51" s="22">
        <f>(-0.15*(1+r_s)+0.8)</f>
        <v>0.63394498399625521</v>
      </c>
      <c r="I51" s="22"/>
    </row>
    <row r="52" spans="1:13" ht="15.75" customHeight="1" x14ac:dyDescent="0.2">
      <c r="A52" s="155"/>
      <c r="C52" s="22" t="s">
        <v>291</v>
      </c>
      <c r="D52" s="22">
        <f>4*A_w/(PI()*D_t*F_w*no_tube+PI()*D_s*(Ѳ_ds/360))</f>
        <v>3.8118771111977132E-2</v>
      </c>
      <c r="E52" s="22" t="s">
        <v>60</v>
      </c>
      <c r="G52" s="22" t="s">
        <v>378</v>
      </c>
      <c r="H52" s="22">
        <f>2</f>
        <v>2</v>
      </c>
      <c r="I52" s="22"/>
      <c r="K52" s="152" t="s">
        <v>404</v>
      </c>
      <c r="L52" s="154"/>
      <c r="M52" s="153"/>
    </row>
    <row r="53" spans="1:13" x14ac:dyDescent="0.2">
      <c r="A53" s="155"/>
      <c r="C53" s="22" t="s">
        <v>295</v>
      </c>
      <c r="D53" s="22">
        <f>L_tp</f>
        <v>2.5050000000000003E-2</v>
      </c>
      <c r="E53" s="22" t="s">
        <v>60</v>
      </c>
      <c r="G53" s="22" t="s">
        <v>377</v>
      </c>
      <c r="H53" s="22">
        <f>N_ss/N_tcc</f>
        <v>0.17931281317108094</v>
      </c>
      <c r="I53" s="22"/>
      <c r="K53" s="41" t="s">
        <v>396</v>
      </c>
      <c r="L53" s="41">
        <f>2*f_i*N_tcc*G_s^2/density_shell_avg*phi_r_minus</f>
        <v>924.35724978981193</v>
      </c>
      <c r="M53" s="41" t="s">
        <v>272</v>
      </c>
    </row>
    <row r="54" spans="1:13" x14ac:dyDescent="0.2">
      <c r="A54" s="155"/>
      <c r="C54" s="22" t="s">
        <v>292</v>
      </c>
      <c r="D54" s="22">
        <f>D_s/L_pp*(1-2*B_C/100)</f>
        <v>11.153692614770456</v>
      </c>
      <c r="E54" s="22"/>
      <c r="G54" s="22" t="s">
        <v>379</v>
      </c>
      <c r="H54" s="22">
        <f>IF(Re_s&gt;100,1.25,1.35)</f>
        <v>1.25</v>
      </c>
      <c r="I54" s="22"/>
      <c r="K54" s="41" t="s">
        <v>398</v>
      </c>
      <c r="L54" s="41">
        <f>ΔP_bi*(N_b-1)*R_b*R_l</f>
        <v>7933.0607769282706</v>
      </c>
      <c r="M54" s="41" t="s">
        <v>272</v>
      </c>
    </row>
    <row r="55" spans="1:13" x14ac:dyDescent="0.2">
      <c r="A55" s="155"/>
      <c r="C55" s="22" t="s">
        <v>293</v>
      </c>
      <c r="D55" s="22">
        <f>0.4*(D_s*B_C/100-(D_s-D_ctl)/2)</f>
        <v>4.6975945968193766E-2</v>
      </c>
      <c r="E55" s="22" t="s">
        <v>60</v>
      </c>
      <c r="G55" s="22" t="s">
        <v>381</v>
      </c>
      <c r="H55" s="22">
        <f>IF(Re_s&gt;100,3.7,4.5)</f>
        <v>3.7</v>
      </c>
      <c r="I55" s="22"/>
      <c r="K55" s="41" t="s">
        <v>399</v>
      </c>
      <c r="L55" s="41">
        <f>1000*N_b*((2+0.6*N_tcw)*G_w^2/(2*density_shell_avg)*(10^-3))*R_l</f>
        <v>18649.281697451035</v>
      </c>
      <c r="M55" s="41" t="s">
        <v>272</v>
      </c>
    </row>
    <row r="56" spans="1:13" x14ac:dyDescent="0.2">
      <c r="A56" s="155"/>
      <c r="C56" s="22" t="s">
        <v>294</v>
      </c>
      <c r="D56" s="22">
        <f>2/L_pp*L_wp</f>
        <v>3.7505745283987038</v>
      </c>
      <c r="E56" s="22"/>
      <c r="G56" s="22" t="s">
        <v>380</v>
      </c>
      <c r="H56" s="22">
        <f>EXP(-C_bh*F_sbp*(1-(2*r_ss)^(1/3) ))</f>
        <v>0.89671066385799536</v>
      </c>
      <c r="I56" s="22"/>
      <c r="K56" s="47" t="s">
        <v>400</v>
      </c>
      <c r="L56" s="41">
        <f>ΔP_bi*(1+N_tcw/N_tcc)*R_b*R_s_ΔP</f>
        <v>1252.2118088142461</v>
      </c>
      <c r="M56" s="41" t="s">
        <v>272</v>
      </c>
    </row>
    <row r="57" spans="1:13" x14ac:dyDescent="0.2">
      <c r="A57" s="155"/>
      <c r="C57" s="22" t="s">
        <v>296</v>
      </c>
      <c r="D57" s="22">
        <f>L_b_kern</f>
        <v>0.25</v>
      </c>
      <c r="E57" s="22" t="s">
        <v>60</v>
      </c>
      <c r="G57" s="22" t="s">
        <v>382</v>
      </c>
      <c r="H57" s="22">
        <f>A_ba/A_mb</f>
        <v>0.30124095720496141</v>
      </c>
      <c r="I57" s="22"/>
      <c r="K57" s="47" t="s">
        <v>524</v>
      </c>
      <c r="L57" s="41">
        <f>1+1</f>
        <v>2</v>
      </c>
      <c r="M57" s="41"/>
    </row>
    <row r="58" spans="1:13" x14ac:dyDescent="0.2">
      <c r="A58" s="155"/>
      <c r="C58" s="22" t="s">
        <v>297</v>
      </c>
      <c r="D58" s="22">
        <f>Nozzle_Shell_OD*2</f>
        <v>0.30479999999999996</v>
      </c>
      <c r="E58" s="22" t="s">
        <v>60</v>
      </c>
      <c r="G58" s="22" t="s">
        <v>383</v>
      </c>
      <c r="H58" s="22">
        <f>EXP(-C_bp*F_sbp*(1-(2*r_ss)^(1/3) ))</f>
        <v>0.72418730961089117</v>
      </c>
      <c r="I58" s="22"/>
      <c r="K58" s="47" t="s">
        <v>525</v>
      </c>
      <c r="L58" s="41">
        <f>(4*K_ns*density_shell_avg*v_nozz_avg_shell^2)/(2)</f>
        <v>27811.789366499317</v>
      </c>
      <c r="M58" s="41" t="s">
        <v>272</v>
      </c>
    </row>
    <row r="59" spans="1:13" x14ac:dyDescent="0.2">
      <c r="A59" s="155"/>
      <c r="C59" s="22" t="s">
        <v>298</v>
      </c>
      <c r="D59" s="22">
        <f>L_bi</f>
        <v>0.30479999999999996</v>
      </c>
      <c r="E59" s="22" t="s">
        <v>60</v>
      </c>
      <c r="G59" s="22" t="s">
        <v>384</v>
      </c>
      <c r="H59" s="22">
        <f>(N_tcc+N_tcw)*(1+N_b)</f>
        <v>327.89387714972156</v>
      </c>
      <c r="I59" s="22"/>
      <c r="K59" s="41" t="s">
        <v>401</v>
      </c>
      <c r="L59" s="41">
        <f>(L_bc/L_bo)^(2-0.2)+(L_bc/L_bi)^(2-0.2)</f>
        <v>1.3998937625506684</v>
      </c>
      <c r="M59" s="41"/>
    </row>
    <row r="60" spans="1:13" x14ac:dyDescent="0.2">
      <c r="A60" s="155"/>
      <c r="C60" s="22" t="s">
        <v>340</v>
      </c>
      <c r="D60" s="22">
        <f>L_shell-L_bi-L_bo</f>
        <v>5.3903999999999996</v>
      </c>
      <c r="E60" s="22" t="s">
        <v>60</v>
      </c>
      <c r="G60" s="22" t="s">
        <v>385</v>
      </c>
      <c r="H60" s="22">
        <f>1</f>
        <v>1</v>
      </c>
      <c r="I60" s="22"/>
      <c r="K60" s="41" t="s">
        <v>402</v>
      </c>
      <c r="L60" s="41">
        <f>mdot_shell/((A_mb*A_w)^0.5)</f>
        <v>694.58293828426395</v>
      </c>
      <c r="M60" s="41"/>
    </row>
    <row r="61" spans="1:13" x14ac:dyDescent="0.2">
      <c r="A61" s="155"/>
      <c r="C61" s="22" t="s">
        <v>326</v>
      </c>
      <c r="D61" s="22">
        <f>ROUND( (L_ti/L_bc)-1, 0)</f>
        <v>21</v>
      </c>
      <c r="E61" s="22"/>
      <c r="G61" s="22" t="s">
        <v>386</v>
      </c>
      <c r="H61" s="22">
        <f>L_bo/L_bc</f>
        <v>1.2191999999999998</v>
      </c>
      <c r="I61" s="22"/>
      <c r="K61" s="81" t="s">
        <v>403</v>
      </c>
      <c r="L61" s="82">
        <f>J_ΔP_DSBaffle*(ΔP_c+ΔP_w+LMTD_N*ΔP_e+ΔP_ns)/100000</f>
        <v>0.22759422183402847</v>
      </c>
      <c r="M61" s="82" t="s">
        <v>11</v>
      </c>
    </row>
    <row r="62" spans="1:13" x14ac:dyDescent="0.2">
      <c r="A62" s="155"/>
      <c r="C62" s="22" t="s">
        <v>299</v>
      </c>
      <c r="D62" s="22">
        <f>L_pp</f>
        <v>2.5050000000000003E-2</v>
      </c>
      <c r="E62" s="22" t="s">
        <v>60</v>
      </c>
      <c r="G62" s="22" t="s">
        <v>387</v>
      </c>
      <c r="H62" s="22">
        <f>L_plus_i</f>
        <v>1.2191999999999998</v>
      </c>
      <c r="I62" s="22"/>
      <c r="K62" s="41" t="s">
        <v>527</v>
      </c>
      <c r="L62" s="41">
        <f>(V_nozz_in_shell+v_nozz_o_s)/2</f>
        <v>3.1880467029033688</v>
      </c>
      <c r="M62" s="47" t="s">
        <v>231</v>
      </c>
    </row>
    <row r="63" spans="1:13" x14ac:dyDescent="0.2">
      <c r="A63" s="155"/>
      <c r="C63" s="22" t="s">
        <v>302</v>
      </c>
      <c r="D63" s="22">
        <f>L_bc*((D_s-D_otl)+L_pl)</f>
        <v>1.2630067539757785E-2</v>
      </c>
      <c r="E63" s="22" t="s">
        <v>59</v>
      </c>
      <c r="G63" s="22" t="s">
        <v>388</v>
      </c>
      <c r="H63" s="22">
        <f>L_bi/L_bc</f>
        <v>1.2191999999999998</v>
      </c>
      <c r="I63" s="22"/>
    </row>
    <row r="64" spans="1:13" x14ac:dyDescent="0.2">
      <c r="A64" s="155"/>
      <c r="C64" s="22" t="s">
        <v>300</v>
      </c>
      <c r="D64" s="22">
        <v>1.5E-3</v>
      </c>
      <c r="E64" s="22" t="s">
        <v>60</v>
      </c>
      <c r="G64" s="22" t="s">
        <v>389</v>
      </c>
      <c r="H64" s="22">
        <f>((N_b-1)+(L_plus_i)^(0.4)+(L_plus_o)^(0.4))/(N_b-1+L_plus_i+L_plus_o)</f>
        <v>0.98781599186845082</v>
      </c>
      <c r="I64" s="22"/>
    </row>
    <row r="65" spans="1:9" x14ac:dyDescent="0.2">
      <c r="A65" s="155"/>
      <c r="C65" s="22" t="s">
        <v>303</v>
      </c>
      <c r="D65" s="22">
        <f>PI()*D_s*L_sb_shell/2*(1-Ѳ_ds/360)</f>
        <v>8.7776098741298829E-4</v>
      </c>
      <c r="E65" s="22" t="s">
        <v>59</v>
      </c>
      <c r="G65" s="8" t="s">
        <v>390</v>
      </c>
      <c r="H65" s="8">
        <f>h_si*J_s*J_l*J_b*J_r*J_c*J_DSBaffle</f>
        <v>1354.7107076723037</v>
      </c>
      <c r="I65" s="8" t="s">
        <v>268</v>
      </c>
    </row>
    <row r="66" spans="1:9" x14ac:dyDescent="0.2">
      <c r="A66" s="155"/>
      <c r="C66" s="22" t="s">
        <v>301</v>
      </c>
      <c r="D66" s="22">
        <v>1E-3</v>
      </c>
      <c r="E66" s="22" t="s">
        <v>60</v>
      </c>
    </row>
    <row r="67" spans="1:9" x14ac:dyDescent="0.2">
      <c r="A67" s="155"/>
      <c r="C67" s="22" t="s">
        <v>341</v>
      </c>
      <c r="D67" s="22">
        <f>L_tp</f>
        <v>2.5050000000000003E-2</v>
      </c>
      <c r="E67" s="22" t="s">
        <v>60</v>
      </c>
    </row>
    <row r="68" spans="1:9" x14ac:dyDescent="0.2">
      <c r="A68" s="155"/>
      <c r="C68" s="22" t="s">
        <v>304</v>
      </c>
      <c r="D68" s="22">
        <f>IF(tube_pitch/OD_tube&gt;3.732,L_bc*(L_bb+D_ctl/L_tp_eff*(L_tp_eff-D_t)), L_bc*(L_bb+2*D_ctl/(3^0.5*L_tp)*(L_tp-D_t)))</f>
        <v>4.1926793942446576E-2</v>
      </c>
      <c r="E68" s="22" t="s">
        <v>59</v>
      </c>
    </row>
    <row r="69" spans="1:9" x14ac:dyDescent="0.2">
      <c r="A69" s="155"/>
      <c r="C69" s="22" t="s">
        <v>260</v>
      </c>
      <c r="D69" s="22">
        <f>'Temp. dependency'!C68</f>
        <v>1.2899999999999999E-4</v>
      </c>
      <c r="E69" s="22" t="s">
        <v>32</v>
      </c>
    </row>
    <row r="70" spans="1:9" x14ac:dyDescent="0.2">
      <c r="A70" s="83"/>
    </row>
    <row r="71" spans="1:9" x14ac:dyDescent="0.2">
      <c r="A71" s="83"/>
    </row>
    <row r="72" spans="1:9" x14ac:dyDescent="0.2">
      <c r="A72" s="83"/>
    </row>
  </sheetData>
  <mergeCells count="19">
    <mergeCell ref="A33:A69"/>
    <mergeCell ref="G26:I26"/>
    <mergeCell ref="C3:E3"/>
    <mergeCell ref="K33:L33"/>
    <mergeCell ref="K52:M52"/>
    <mergeCell ref="K9:M9"/>
    <mergeCell ref="K48:M48"/>
    <mergeCell ref="G3:I3"/>
    <mergeCell ref="L10:M10"/>
    <mergeCell ref="L11:M11"/>
    <mergeCell ref="C33:E33"/>
    <mergeCell ref="G33:I33"/>
    <mergeCell ref="G12:I12"/>
    <mergeCell ref="A1:A12"/>
    <mergeCell ref="C21:E21"/>
    <mergeCell ref="C12:E12"/>
    <mergeCell ref="K3:M3"/>
    <mergeCell ref="G21:I21"/>
    <mergeCell ref="A13:A30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B3:N23"/>
  <sheetViews>
    <sheetView workbookViewId="0"/>
  </sheetViews>
  <sheetFormatPr baseColWidth="10" defaultColWidth="9.1640625" defaultRowHeight="15" x14ac:dyDescent="0.2"/>
  <cols>
    <col min="1" max="1" width="9.1640625" style="4"/>
    <col min="2" max="2" width="14.1640625" style="4" customWidth="1"/>
    <col min="3" max="6" width="9.1640625" style="4"/>
    <col min="7" max="7" width="15.33203125" style="4" customWidth="1"/>
    <col min="8" max="8" width="10.6640625" style="4" customWidth="1"/>
    <col min="9" max="9" width="9.1640625" style="4"/>
    <col min="10" max="11" width="8.5" style="4" customWidth="1"/>
    <col min="12" max="12" width="12.6640625" style="4" customWidth="1"/>
    <col min="13" max="13" width="8.6640625" style="4" customWidth="1"/>
    <col min="14" max="14" width="9.83203125" style="4" customWidth="1"/>
    <col min="15" max="15" width="6.5" style="4" customWidth="1"/>
    <col min="16" max="16384" width="9.1640625" style="4"/>
  </cols>
  <sheetData>
    <row r="3" spans="2:14" ht="16" x14ac:dyDescent="0.2">
      <c r="B3" s="152" t="s">
        <v>543</v>
      </c>
      <c r="C3" s="154"/>
      <c r="D3" s="153"/>
      <c r="G3" s="152" t="s">
        <v>544</v>
      </c>
      <c r="H3" s="154"/>
      <c r="I3" s="153"/>
      <c r="L3" s="152" t="s">
        <v>542</v>
      </c>
      <c r="M3" s="153"/>
    </row>
    <row r="4" spans="2:14" x14ac:dyDescent="0.2">
      <c r="B4" s="2" t="s">
        <v>66</v>
      </c>
      <c r="C4" s="2">
        <f>mdot_tube</f>
        <v>14.5167</v>
      </c>
      <c r="D4" s="2" t="str">
        <f>[2]Requierements!G13</f>
        <v>kg/s</v>
      </c>
      <c r="G4" s="2" t="s">
        <v>88</v>
      </c>
      <c r="H4" s="2">
        <f>dens_tube_avg</f>
        <v>645.04999999999995</v>
      </c>
      <c r="I4" s="2" t="s">
        <v>26</v>
      </c>
      <c r="L4" s="2" t="s">
        <v>232</v>
      </c>
      <c r="M4" s="2">
        <v>0</v>
      </c>
    </row>
    <row r="5" spans="2:14" x14ac:dyDescent="0.2">
      <c r="B5" s="2" t="s">
        <v>67</v>
      </c>
      <c r="C5" s="2">
        <v>1.9050000000000001E-2</v>
      </c>
      <c r="D5" s="2" t="s">
        <v>60</v>
      </c>
      <c r="G5" s="2" t="s">
        <v>92</v>
      </c>
      <c r="H5" s="2">
        <f>mdot_tube/ (no_tube/pass_tube*PI()* ID_tube^2 / 4)</f>
        <v>1167.2482245055444</v>
      </c>
      <c r="I5" s="2" t="s">
        <v>93</v>
      </c>
      <c r="L5" s="2" t="s">
        <v>233</v>
      </c>
      <c r="M5" s="2">
        <f xml:space="preserve"> 0.079 * Re_tube^-0.25</f>
        <v>4.1074627106705234E-3</v>
      </c>
    </row>
    <row r="6" spans="2:14" x14ac:dyDescent="0.2">
      <c r="B6" s="2" t="s">
        <v>68</v>
      </c>
      <c r="C6" s="2">
        <f>OD_tube-2*thick_tube</f>
        <v>1.4830000000000001E-2</v>
      </c>
      <c r="D6" s="2" t="s">
        <v>60</v>
      </c>
      <c r="G6" s="2" t="s">
        <v>94</v>
      </c>
      <c r="H6" s="2">
        <f>k_tube_avg</f>
        <v>7.7149999999999996E-2</v>
      </c>
      <c r="I6" s="2" t="s">
        <v>63</v>
      </c>
      <c r="L6" s="2" t="s">
        <v>234</v>
      </c>
      <c r="M6" s="2">
        <f>f_tube/4</f>
        <v>1.0268656776676308E-3</v>
      </c>
    </row>
    <row r="7" spans="2:14" x14ac:dyDescent="0.2">
      <c r="B7" s="8" t="s">
        <v>61</v>
      </c>
      <c r="C7" s="8">
        <v>2.1099999999999999E-3</v>
      </c>
      <c r="D7" s="8" t="s">
        <v>60</v>
      </c>
      <c r="G7" s="8" t="s">
        <v>87</v>
      </c>
      <c r="H7" s="8">
        <f>G_tube*ID_tube/mu_tube_avg</f>
        <v>136840.24639855514</v>
      </c>
      <c r="I7" s="2"/>
    </row>
    <row r="8" spans="2:14" x14ac:dyDescent="0.2">
      <c r="B8" s="2" t="s">
        <v>62</v>
      </c>
      <c r="C8" s="2" t="s">
        <v>96</v>
      </c>
      <c r="D8" s="2"/>
      <c r="G8" s="8" t="s">
        <v>95</v>
      </c>
      <c r="H8" s="8" t="str">
        <f>IF(Re_tube&gt;20000, "turbulent", "laminar")</f>
        <v>turbulent</v>
      </c>
      <c r="I8" s="2"/>
    </row>
    <row r="9" spans="2:14" ht="16" x14ac:dyDescent="0.2">
      <c r="B9" s="2" t="s">
        <v>72</v>
      </c>
      <c r="C9" s="2">
        <v>52.35</v>
      </c>
      <c r="D9" s="2" t="s">
        <v>63</v>
      </c>
      <c r="G9" s="2" t="s">
        <v>138</v>
      </c>
      <c r="H9" s="2">
        <f>(T_AVG_SHELL+T_AVG_TUBE)/2</f>
        <v>226.1</v>
      </c>
      <c r="I9" s="2" t="s">
        <v>16</v>
      </c>
      <c r="L9" s="150" t="s">
        <v>405</v>
      </c>
      <c r="M9" s="150"/>
      <c r="N9" s="150"/>
    </row>
    <row r="10" spans="2:14" x14ac:dyDescent="0.2">
      <c r="B10" s="2" t="s">
        <v>85</v>
      </c>
      <c r="C10" s="2">
        <f>mu_tube_in</f>
        <v>9.2999999999999997E-5</v>
      </c>
      <c r="D10" s="2" t="s">
        <v>64</v>
      </c>
      <c r="G10" s="2" t="s">
        <v>129</v>
      </c>
      <c r="H10" s="2">
        <v>1.37E-4</v>
      </c>
      <c r="I10" s="2" t="s">
        <v>64</v>
      </c>
      <c r="L10" s="2" t="s">
        <v>134</v>
      </c>
      <c r="M10" s="2">
        <f>IF(h_tube_out&lt;h_tube_in,h_tube_out,h_tube_in)</f>
        <v>2150.5217261136577</v>
      </c>
      <c r="N10" s="2" t="s">
        <v>135</v>
      </c>
    </row>
    <row r="11" spans="2:14" x14ac:dyDescent="0.2">
      <c r="B11" s="2" t="s">
        <v>84</v>
      </c>
      <c r="C11" s="2">
        <f>mu_tube_out</f>
        <v>1.6000000000000001E-4</v>
      </c>
      <c r="D11" s="2" t="s">
        <v>64</v>
      </c>
      <c r="L11" s="8" t="s">
        <v>236</v>
      </c>
      <c r="M11" s="8">
        <f>G_tube/dens_tube_avg</f>
        <v>1.8095468948229509</v>
      </c>
      <c r="N11" s="8" t="s">
        <v>231</v>
      </c>
    </row>
    <row r="12" spans="2:14" ht="16" x14ac:dyDescent="0.2">
      <c r="B12" s="2" t="s">
        <v>83</v>
      </c>
      <c r="C12" s="2">
        <f>cp_tube_in*1000</f>
        <v>2890</v>
      </c>
      <c r="D12" s="2" t="s">
        <v>71</v>
      </c>
      <c r="G12" s="150" t="s">
        <v>136</v>
      </c>
      <c r="H12" s="150"/>
      <c r="I12" s="150"/>
    </row>
    <row r="13" spans="2:14" x14ac:dyDescent="0.2">
      <c r="B13" s="2" t="s">
        <v>86</v>
      </c>
      <c r="C13" s="2">
        <f>cp_tube_out*1000</f>
        <v>2400</v>
      </c>
      <c r="D13" s="2" t="s">
        <v>71</v>
      </c>
      <c r="G13" s="2" t="s">
        <v>131</v>
      </c>
      <c r="H13" s="2">
        <f>IF(T_in_tube&gt;T_in_shell, 0.3,0.4)</f>
        <v>0.3</v>
      </c>
      <c r="I13" s="2"/>
    </row>
    <row r="14" spans="2:14" ht="16" x14ac:dyDescent="0.2">
      <c r="B14" s="2" t="s">
        <v>81</v>
      </c>
      <c r="C14" s="2">
        <f>k_tube_in</f>
        <v>7.4899999999999994E-2</v>
      </c>
      <c r="D14" s="2" t="s">
        <v>63</v>
      </c>
      <c r="G14" s="2" t="s">
        <v>127</v>
      </c>
      <c r="H14" s="2">
        <f>G_tube*ID_tube/mu_tube_in</f>
        <v>186132.16311201319</v>
      </c>
      <c r="I14" s="2"/>
      <c r="L14" s="152" t="s">
        <v>404</v>
      </c>
      <c r="M14" s="154"/>
      <c r="N14" s="153"/>
    </row>
    <row r="15" spans="2:14" x14ac:dyDescent="0.2">
      <c r="B15" s="2" t="s">
        <v>82</v>
      </c>
      <c r="C15" s="2">
        <f>k_tube_out</f>
        <v>7.9399999999999998E-2</v>
      </c>
      <c r="D15" s="2" t="s">
        <v>63</v>
      </c>
      <c r="G15" s="2" t="s">
        <v>126</v>
      </c>
      <c r="H15" s="2">
        <f>(cp_tube_in*1000*mu_tube_in)/k_tube_in</f>
        <v>3.5883845126835783</v>
      </c>
      <c r="I15" s="2"/>
      <c r="L15" s="2" t="s">
        <v>235</v>
      </c>
      <c r="M15" s="2">
        <f xml:space="preserve"> (8*fannig_tube*(LMTD_N*L_tube/ID_tube)*(mu_tube_avg/mu_wall_tube)^(-0.14)+2.5)*(dens_tube_avg*velo_tube^2)/2</f>
        <v>9739.2023416531101</v>
      </c>
      <c r="N15" s="2" t="s">
        <v>272</v>
      </c>
    </row>
    <row r="16" spans="2:14" x14ac:dyDescent="0.2">
      <c r="B16" s="2" t="s">
        <v>70</v>
      </c>
      <c r="C16" s="2">
        <f>P_in_tube</f>
        <v>11.9</v>
      </c>
      <c r="D16" s="2" t="s">
        <v>11</v>
      </c>
      <c r="G16" s="2" t="s">
        <v>130</v>
      </c>
      <c r="H16" s="2">
        <f>0.023*((Re_in_tube)^0.8)*((Pr_in_tube)^(b_Pr_in))*((mu_tube_in/mu_wall_tube)^0.14)</f>
        <v>525.41371014344918</v>
      </c>
      <c r="I16" s="2"/>
      <c r="L16" s="8" t="s">
        <v>235</v>
      </c>
      <c r="M16" s="8">
        <f>deltaP_tube/100000</f>
        <v>9.7392023416531096E-2</v>
      </c>
      <c r="N16" s="8" t="s">
        <v>11</v>
      </c>
    </row>
    <row r="17" spans="2:9" x14ac:dyDescent="0.2">
      <c r="B17" s="2" t="s">
        <v>65</v>
      </c>
      <c r="C17" s="2">
        <v>0.5</v>
      </c>
      <c r="D17" s="2" t="s">
        <v>11</v>
      </c>
      <c r="G17" s="2" t="s">
        <v>132</v>
      </c>
      <c r="H17" s="2">
        <f>(Nu_tube_in*k_tube_in/ID_tube)</f>
        <v>2653.6403836644868</v>
      </c>
      <c r="I17" s="2" t="s">
        <v>135</v>
      </c>
    </row>
    <row r="18" spans="2:9" x14ac:dyDescent="0.2">
      <c r="B18" s="2" t="s">
        <v>69</v>
      </c>
      <c r="C18" s="2"/>
      <c r="D18" s="2" t="s">
        <v>11</v>
      </c>
    </row>
    <row r="19" spans="2:9" ht="16" x14ac:dyDescent="0.2">
      <c r="B19" s="2" t="s">
        <v>125</v>
      </c>
      <c r="C19" s="2">
        <f>(T_in_tube+T_out_tube)/2</f>
        <v>240.7</v>
      </c>
      <c r="D19" s="2" t="s">
        <v>16</v>
      </c>
      <c r="G19" s="150" t="s">
        <v>137</v>
      </c>
      <c r="H19" s="150"/>
      <c r="I19" s="150"/>
    </row>
    <row r="20" spans="2:9" x14ac:dyDescent="0.2">
      <c r="G20" s="2" t="s">
        <v>128</v>
      </c>
      <c r="H20" s="2">
        <f>G_tube*ID_tube/mu_tube_out</f>
        <v>108189.31980885766</v>
      </c>
      <c r="I20" s="2"/>
    </row>
    <row r="21" spans="2:9" x14ac:dyDescent="0.2">
      <c r="G21" s="2" t="s">
        <v>126</v>
      </c>
      <c r="H21" s="2">
        <f>(cp_tube_out*1000*mu_tube_out)/k_tube_out</f>
        <v>4.8362720403022674</v>
      </c>
      <c r="I21" s="2"/>
    </row>
    <row r="22" spans="2:9" x14ac:dyDescent="0.2">
      <c r="G22" s="2" t="s">
        <v>130</v>
      </c>
      <c r="H22" s="2">
        <f>0.023*((Re_out_tube)^0.8)*((Pr_out_tube)^(b_Pr_in))*((mu_tube_out/mu_wall_tube)^0.14)</f>
        <v>401.66545589755094</v>
      </c>
      <c r="I22" s="2"/>
    </row>
    <row r="23" spans="2:9" x14ac:dyDescent="0.2">
      <c r="G23" s="2" t="s">
        <v>133</v>
      </c>
      <c r="H23" s="2">
        <f>(Nu_tube_out*k_tube_out/ID_tube)</f>
        <v>2150.5217261136577</v>
      </c>
      <c r="I23" s="2" t="s">
        <v>135</v>
      </c>
    </row>
  </sheetData>
  <mergeCells count="7">
    <mergeCell ref="B3:D3"/>
    <mergeCell ref="G3:I3"/>
    <mergeCell ref="G12:I12"/>
    <mergeCell ref="G19:I19"/>
    <mergeCell ref="L9:N9"/>
    <mergeCell ref="L14:N14"/>
    <mergeCell ref="L3:M3"/>
  </mergeCell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2:M63"/>
  <sheetViews>
    <sheetView workbookViewId="0"/>
  </sheetViews>
  <sheetFormatPr baseColWidth="10" defaultColWidth="9.1640625" defaultRowHeight="15" x14ac:dyDescent="0.2"/>
  <cols>
    <col min="1" max="1" width="3.5" style="4" customWidth="1"/>
    <col min="2" max="2" width="23" style="4" customWidth="1"/>
    <col min="3" max="4" width="9.1640625" style="4"/>
    <col min="5" max="5" width="8.83203125" style="4" customWidth="1"/>
    <col min="6" max="6" width="3.5" style="4" customWidth="1"/>
    <col min="7" max="7" width="21.1640625" style="4" customWidth="1"/>
    <col min="8" max="8" width="15.6640625" style="4" customWidth="1"/>
    <col min="9" max="9" width="12.5" style="4" customWidth="1"/>
    <col min="10" max="10" width="13.1640625" style="4" customWidth="1"/>
    <col min="11" max="11" width="19" style="4" customWidth="1"/>
    <col min="12" max="12" width="14" style="4" customWidth="1"/>
    <col min="13" max="13" width="14.1640625" style="4" customWidth="1"/>
    <col min="14" max="16384" width="9.1640625" style="4"/>
  </cols>
  <sheetData>
    <row r="2" spans="2:13" ht="16" x14ac:dyDescent="0.2">
      <c r="B2" s="168" t="s">
        <v>110</v>
      </c>
      <c r="C2" s="168"/>
      <c r="D2" s="169"/>
      <c r="G2" s="150" t="s">
        <v>121</v>
      </c>
      <c r="H2" s="150"/>
      <c r="I2" s="150"/>
      <c r="K2" s="150" t="s">
        <v>314</v>
      </c>
      <c r="L2" s="150"/>
      <c r="M2" s="150"/>
    </row>
    <row r="3" spans="2:13" x14ac:dyDescent="0.2">
      <c r="B3" s="2" t="s">
        <v>99</v>
      </c>
      <c r="C3" s="2" t="s">
        <v>306</v>
      </c>
      <c r="D3" s="2" t="s">
        <v>109</v>
      </c>
      <c r="G3" s="2" t="s">
        <v>62</v>
      </c>
      <c r="H3" s="2" t="s">
        <v>274</v>
      </c>
      <c r="I3" s="2" t="s">
        <v>109</v>
      </c>
      <c r="K3" s="78" t="s">
        <v>62</v>
      </c>
      <c r="L3" s="2" t="s">
        <v>96</v>
      </c>
      <c r="M3" s="2" t="s">
        <v>109</v>
      </c>
    </row>
    <row r="4" spans="2:13" x14ac:dyDescent="0.2">
      <c r="B4" s="2" t="s">
        <v>62</v>
      </c>
      <c r="C4" s="2" t="s">
        <v>274</v>
      </c>
      <c r="D4" s="2" t="s">
        <v>109</v>
      </c>
      <c r="G4" s="2" t="s">
        <v>107</v>
      </c>
      <c r="H4" s="2">
        <v>345000</v>
      </c>
      <c r="I4" s="2" t="s">
        <v>11</v>
      </c>
      <c r="K4" s="2" t="s">
        <v>308</v>
      </c>
      <c r="L4" s="2" t="s">
        <v>49</v>
      </c>
      <c r="M4" s="2" t="s">
        <v>109</v>
      </c>
    </row>
    <row r="5" spans="2:13" x14ac:dyDescent="0.2">
      <c r="B5" s="2" t="s">
        <v>107</v>
      </c>
      <c r="C5" s="2">
        <v>345000</v>
      </c>
      <c r="D5" s="2" t="s">
        <v>11</v>
      </c>
      <c r="G5" s="2" t="s">
        <v>111</v>
      </c>
      <c r="H5" s="2">
        <f>P_des_tube</f>
        <v>13.4</v>
      </c>
      <c r="I5" s="2" t="s">
        <v>11</v>
      </c>
      <c r="K5" s="2" t="s">
        <v>309</v>
      </c>
      <c r="L5" s="2" t="s">
        <v>310</v>
      </c>
      <c r="M5" s="2" t="s">
        <v>109</v>
      </c>
    </row>
    <row r="6" spans="2:13" x14ac:dyDescent="0.2">
      <c r="B6" s="2" t="s">
        <v>111</v>
      </c>
      <c r="C6" s="2">
        <f>P_des_shell</f>
        <v>34</v>
      </c>
      <c r="D6" s="2" t="s">
        <v>11</v>
      </c>
      <c r="G6" s="2" t="s">
        <v>108</v>
      </c>
      <c r="H6" s="2">
        <v>325</v>
      </c>
      <c r="I6" s="2" t="s">
        <v>16</v>
      </c>
    </row>
    <row r="7" spans="2:13" ht="16" x14ac:dyDescent="0.2">
      <c r="B7" s="2" t="s">
        <v>108</v>
      </c>
      <c r="C7" s="2">
        <v>260</v>
      </c>
      <c r="D7" s="2" t="s">
        <v>16</v>
      </c>
      <c r="G7" s="2" t="s">
        <v>112</v>
      </c>
      <c r="H7" s="2">
        <v>0</v>
      </c>
      <c r="I7" s="2" t="s">
        <v>60</v>
      </c>
      <c r="K7" s="150" t="s">
        <v>462</v>
      </c>
      <c r="L7" s="150"/>
      <c r="M7" s="150"/>
    </row>
    <row r="8" spans="2:13" x14ac:dyDescent="0.2">
      <c r="B8" s="2" t="s">
        <v>100</v>
      </c>
      <c r="C8" s="2">
        <v>3.0000000000000001E-3</v>
      </c>
      <c r="D8" s="2" t="s">
        <v>60</v>
      </c>
      <c r="G8" s="2" t="s">
        <v>113</v>
      </c>
      <c r="H8" s="2">
        <v>1</v>
      </c>
      <c r="I8" s="2" t="s">
        <v>109</v>
      </c>
      <c r="K8" s="21" t="s">
        <v>459</v>
      </c>
      <c r="L8" s="21"/>
      <c r="M8" s="21"/>
    </row>
    <row r="9" spans="2:13" x14ac:dyDescent="0.2">
      <c r="B9" s="2" t="s">
        <v>101</v>
      </c>
      <c r="C9" s="2">
        <v>1</v>
      </c>
      <c r="D9" s="2" t="s">
        <v>109</v>
      </c>
      <c r="G9" s="2" t="s">
        <v>114</v>
      </c>
      <c r="H9" s="2" t="s">
        <v>237</v>
      </c>
      <c r="I9" s="2" t="s">
        <v>124</v>
      </c>
      <c r="K9" s="21" t="s">
        <v>460</v>
      </c>
      <c r="L9" s="21">
        <f>thick_shell</f>
        <v>9.4999999999999998E-3</v>
      </c>
      <c r="M9" s="9" t="s">
        <v>60</v>
      </c>
    </row>
    <row r="10" spans="2:13" x14ac:dyDescent="0.2">
      <c r="B10" s="2" t="s">
        <v>102</v>
      </c>
      <c r="C10" s="2">
        <f>0.0095</f>
        <v>9.4999999999999998E-3</v>
      </c>
      <c r="D10" s="2" t="s">
        <v>60</v>
      </c>
      <c r="G10" s="2" t="s">
        <v>104</v>
      </c>
      <c r="H10" s="2">
        <f>ID_tube</f>
        <v>1.4830000000000001E-2</v>
      </c>
      <c r="I10" s="2" t="s">
        <v>60</v>
      </c>
      <c r="K10" s="9" t="s">
        <v>461</v>
      </c>
      <c r="L10" s="21">
        <f>D_s</f>
        <v>0.55879999999999996</v>
      </c>
      <c r="M10" s="9" t="s">
        <v>60</v>
      </c>
    </row>
    <row r="11" spans="2:13" x14ac:dyDescent="0.2">
      <c r="B11" s="2" t="s">
        <v>103</v>
      </c>
      <c r="C11" s="2">
        <v>9.4999999999999998E-3</v>
      </c>
      <c r="D11" s="2" t="s">
        <v>60</v>
      </c>
      <c r="G11" s="2" t="s">
        <v>105</v>
      </c>
      <c r="H11" s="2">
        <f>OD_tube</f>
        <v>1.9050000000000001E-2</v>
      </c>
      <c r="I11" s="2" t="s">
        <v>60</v>
      </c>
      <c r="K11" s="5"/>
      <c r="L11" s="5"/>
      <c r="M11" s="5"/>
    </row>
    <row r="12" spans="2:13" ht="16" x14ac:dyDescent="0.2">
      <c r="B12" s="2" t="s">
        <v>104</v>
      </c>
      <c r="C12" s="2">
        <f>ID_shell</f>
        <v>0.54101518677032745</v>
      </c>
      <c r="D12" s="2" t="s">
        <v>60</v>
      </c>
      <c r="G12" s="2" t="s">
        <v>115</v>
      </c>
      <c r="H12" s="2">
        <f>thick_tube</f>
        <v>2.1099999999999999E-3</v>
      </c>
      <c r="I12" s="2" t="s">
        <v>60</v>
      </c>
      <c r="K12" s="150" t="s">
        <v>463</v>
      </c>
      <c r="L12" s="150"/>
      <c r="M12" s="150"/>
    </row>
    <row r="13" spans="2:13" x14ac:dyDescent="0.2">
      <c r="B13" s="2" t="s">
        <v>105</v>
      </c>
      <c r="C13" s="2">
        <f>(ID_shell+2*thick_shell)</f>
        <v>0.56001518677032747</v>
      </c>
      <c r="D13" s="2" t="s">
        <v>60</v>
      </c>
      <c r="G13" s="74" t="s">
        <v>116</v>
      </c>
      <c r="H13" s="74">
        <v>14</v>
      </c>
      <c r="I13" s="74" t="s">
        <v>109</v>
      </c>
      <c r="K13" s="9" t="s">
        <v>464</v>
      </c>
      <c r="L13" s="21"/>
      <c r="M13" s="21"/>
    </row>
    <row r="14" spans="2:13" x14ac:dyDescent="0.2">
      <c r="B14" s="2" t="s">
        <v>106</v>
      </c>
      <c r="C14" s="2">
        <v>6</v>
      </c>
      <c r="D14" s="2" t="s">
        <v>60</v>
      </c>
      <c r="G14" s="2" t="s">
        <v>117</v>
      </c>
      <c r="H14" s="2">
        <f>MAX(OD_tube+0.006,OD_tube*1.25)</f>
        <v>2.5050000000000003E-2</v>
      </c>
      <c r="I14" s="2" t="s">
        <v>60</v>
      </c>
      <c r="K14" s="9" t="s">
        <v>465</v>
      </c>
      <c r="L14" s="21">
        <f>thick_shell</f>
        <v>9.4999999999999998E-3</v>
      </c>
      <c r="M14" s="9" t="s">
        <v>60</v>
      </c>
    </row>
    <row r="15" spans="2:13" x14ac:dyDescent="0.2">
      <c r="B15" s="2" t="s">
        <v>120</v>
      </c>
      <c r="C15" s="2">
        <v>1</v>
      </c>
      <c r="D15" s="2" t="s">
        <v>109</v>
      </c>
      <c r="G15" s="2" t="s">
        <v>106</v>
      </c>
      <c r="H15" s="2">
        <v>6</v>
      </c>
      <c r="I15" s="2" t="s">
        <v>60</v>
      </c>
      <c r="K15" s="9" t="s">
        <v>466</v>
      </c>
      <c r="L15" s="21">
        <f>D_s</f>
        <v>0.55879999999999996</v>
      </c>
      <c r="M15" s="9" t="s">
        <v>60</v>
      </c>
    </row>
    <row r="16" spans="2:13" x14ac:dyDescent="0.2">
      <c r="B16" s="73" t="s">
        <v>528</v>
      </c>
      <c r="C16" s="70">
        <f>LMTD_N*ID_shell^2*PI()/4*L-vol_tube_o-vol_baffle</f>
        <v>1.6136504570416454</v>
      </c>
      <c r="D16" s="73" t="s">
        <v>529</v>
      </c>
      <c r="G16" s="2" t="s">
        <v>122</v>
      </c>
      <c r="H16" s="2">
        <v>7854</v>
      </c>
      <c r="I16" s="2" t="s">
        <v>26</v>
      </c>
    </row>
    <row r="17" spans="1:13" ht="16" x14ac:dyDescent="0.2">
      <c r="G17" s="2" t="s">
        <v>118</v>
      </c>
      <c r="H17" s="2">
        <v>90</v>
      </c>
      <c r="I17" s="2" t="s">
        <v>123</v>
      </c>
      <c r="K17" s="150" t="s">
        <v>489</v>
      </c>
      <c r="L17" s="150"/>
      <c r="M17" s="150"/>
    </row>
    <row r="18" spans="1:13" ht="16" x14ac:dyDescent="0.2">
      <c r="B18" s="152" t="s">
        <v>447</v>
      </c>
      <c r="C18" s="154"/>
      <c r="D18" s="153"/>
      <c r="G18" s="73" t="s">
        <v>530</v>
      </c>
      <c r="H18" s="70">
        <f>LMTD_N*no_tube*ID_tube^2*PI()/4*L</f>
        <v>0.59696094230100094</v>
      </c>
      <c r="I18" s="73" t="s">
        <v>529</v>
      </c>
      <c r="K18" s="21" t="s">
        <v>456</v>
      </c>
      <c r="L18" s="21">
        <v>2</v>
      </c>
      <c r="M18" s="21" t="s">
        <v>109</v>
      </c>
    </row>
    <row r="19" spans="1:13" x14ac:dyDescent="0.2">
      <c r="B19" s="159" t="s">
        <v>448</v>
      </c>
      <c r="C19" s="163"/>
      <c r="D19" s="160"/>
      <c r="G19" s="73" t="s">
        <v>531</v>
      </c>
      <c r="H19" s="70">
        <f>LMTD_N*no_tube*OD_tube^2*PI()/4*L</f>
        <v>0.98503933936553567</v>
      </c>
      <c r="I19" s="73" t="s">
        <v>529</v>
      </c>
      <c r="K19" s="21" t="s">
        <v>106</v>
      </c>
      <c r="L19" s="21">
        <f>L</f>
        <v>6</v>
      </c>
      <c r="M19" s="21" t="s">
        <v>60</v>
      </c>
    </row>
    <row r="20" spans="1:13" x14ac:dyDescent="0.2">
      <c r="G20" s="8" t="s">
        <v>119</v>
      </c>
      <c r="H20" s="8">
        <f>CEILING((A_hex) / (PI()* OD_tube*L_tube),4)</f>
        <v>288</v>
      </c>
      <c r="I20" s="8" t="s">
        <v>109</v>
      </c>
      <c r="K20" s="21" t="s">
        <v>457</v>
      </c>
      <c r="L20" s="21">
        <f>L_bb</f>
        <v>2.5470270159031139E-2</v>
      </c>
      <c r="M20" s="21" t="s">
        <v>60</v>
      </c>
    </row>
    <row r="21" spans="1:13" ht="15.75" customHeight="1" x14ac:dyDescent="0.2">
      <c r="G21" s="8" t="s">
        <v>120</v>
      </c>
      <c r="H21" s="8">
        <v>4</v>
      </c>
      <c r="I21" s="8" t="s">
        <v>109</v>
      </c>
    </row>
    <row r="22" spans="1:13" x14ac:dyDescent="0.2">
      <c r="G22" s="5"/>
      <c r="H22" s="5"/>
      <c r="I22" s="5"/>
    </row>
    <row r="24" spans="1:13" ht="16" x14ac:dyDescent="0.2">
      <c r="A24" s="68"/>
      <c r="B24" s="152" t="s">
        <v>337</v>
      </c>
      <c r="C24" s="154"/>
      <c r="D24" s="153"/>
      <c r="F24" s="71"/>
      <c r="G24" s="150" t="s">
        <v>493</v>
      </c>
      <c r="H24" s="150"/>
      <c r="I24" s="150"/>
      <c r="K24" s="150" t="s">
        <v>312</v>
      </c>
      <c r="L24" s="150"/>
      <c r="M24" s="150"/>
    </row>
    <row r="25" spans="1:13" ht="15" customHeight="1" x14ac:dyDescent="0.2">
      <c r="A25" s="165" t="s">
        <v>492</v>
      </c>
      <c r="B25" s="2" t="s">
        <v>327</v>
      </c>
      <c r="C25" s="2">
        <f>'Temp. dependency'!C97</f>
        <v>710.2</v>
      </c>
      <c r="D25" s="2" t="s">
        <v>26</v>
      </c>
      <c r="F25" s="165" t="s">
        <v>492</v>
      </c>
      <c r="G25" s="22" t="s">
        <v>327</v>
      </c>
      <c r="H25" s="22">
        <f>dens_tube_in</f>
        <v>597.4</v>
      </c>
      <c r="I25" s="22" t="s">
        <v>26</v>
      </c>
      <c r="K25" s="9" t="s">
        <v>99</v>
      </c>
      <c r="L25" s="161" t="s">
        <v>455</v>
      </c>
      <c r="M25" s="160"/>
    </row>
    <row r="26" spans="1:13" ht="15" customHeight="1" x14ac:dyDescent="0.2">
      <c r="A26" s="166"/>
      <c r="B26" s="2" t="s">
        <v>339</v>
      </c>
      <c r="C26" s="2">
        <f>3.048</f>
        <v>3.048</v>
      </c>
      <c r="D26" s="2" t="s">
        <v>231</v>
      </c>
      <c r="F26" s="166"/>
      <c r="G26" s="22" t="s">
        <v>339</v>
      </c>
      <c r="H26" s="22">
        <f>3.048</f>
        <v>3.048</v>
      </c>
      <c r="I26" s="22" t="s">
        <v>231</v>
      </c>
      <c r="K26" s="21" t="s">
        <v>62</v>
      </c>
      <c r="L26" s="164" t="s">
        <v>96</v>
      </c>
      <c r="M26" s="149"/>
    </row>
    <row r="27" spans="1:13" x14ac:dyDescent="0.2">
      <c r="A27" s="166"/>
      <c r="B27" s="2" t="s">
        <v>328</v>
      </c>
      <c r="C27" s="2">
        <f>mdot_shell/(density_shell_in*C26)</f>
        <v>1.2083949587968641E-2</v>
      </c>
      <c r="D27" s="2" t="s">
        <v>59</v>
      </c>
      <c r="F27" s="166"/>
      <c r="G27" s="22" t="s">
        <v>328</v>
      </c>
      <c r="H27" s="22">
        <f>mdot_tube/(dens_tube_in*H26)</f>
        <v>7.9723750425070329E-3</v>
      </c>
      <c r="I27" s="22" t="s">
        <v>59</v>
      </c>
      <c r="K27" s="114" t="s">
        <v>449</v>
      </c>
      <c r="L27" s="114">
        <f>N_b</f>
        <v>21</v>
      </c>
      <c r="M27" s="21" t="s">
        <v>450</v>
      </c>
    </row>
    <row r="28" spans="1:13" x14ac:dyDescent="0.2">
      <c r="A28" s="166"/>
      <c r="B28" s="2" t="s">
        <v>338</v>
      </c>
      <c r="C28" s="2">
        <f>(4*C27/PI())^0.5</f>
        <v>0.12403935856004678</v>
      </c>
      <c r="D28" s="2" t="s">
        <v>60</v>
      </c>
      <c r="F28" s="166"/>
      <c r="G28" s="22" t="s">
        <v>338</v>
      </c>
      <c r="H28" s="22">
        <f>(4*H27/PI())^0.5</f>
        <v>0.10075089661923425</v>
      </c>
      <c r="I28" s="22" t="s">
        <v>60</v>
      </c>
      <c r="K28" s="23" t="s">
        <v>487</v>
      </c>
      <c r="L28" s="22">
        <f>CEILING(N_b/2,1)</f>
        <v>11</v>
      </c>
      <c r="M28" s="22"/>
    </row>
    <row r="29" spans="1:13" x14ac:dyDescent="0.2">
      <c r="A29" s="166"/>
      <c r="B29" s="2" t="s">
        <v>329</v>
      </c>
      <c r="C29" s="2">
        <f>6*0.0254</f>
        <v>0.15239999999999998</v>
      </c>
      <c r="D29" s="2" t="s">
        <v>60</v>
      </c>
      <c r="F29" s="166"/>
      <c r="G29" s="23" t="s">
        <v>494</v>
      </c>
      <c r="H29" s="22">
        <f>6*0.0254</f>
        <v>0.15239999999999998</v>
      </c>
      <c r="I29" s="22" t="s">
        <v>60</v>
      </c>
      <c r="K29" s="23" t="s">
        <v>488</v>
      </c>
      <c r="L29" s="22">
        <f>N_b-N_b_A</f>
        <v>10</v>
      </c>
      <c r="M29" s="22"/>
    </row>
    <row r="30" spans="1:13" ht="15.75" customHeight="1" x14ac:dyDescent="0.2">
      <c r="A30" s="166"/>
      <c r="B30" s="2" t="s">
        <v>330</v>
      </c>
      <c r="C30" s="2">
        <f>0.719*0.0254</f>
        <v>1.8262599999999997E-2</v>
      </c>
      <c r="D30" s="2" t="s">
        <v>60</v>
      </c>
      <c r="F30" s="166"/>
      <c r="G30" s="23" t="s">
        <v>495</v>
      </c>
      <c r="H30" s="22">
        <f>0.719*0.0254</f>
        <v>1.8262599999999997E-2</v>
      </c>
      <c r="I30" s="22" t="s">
        <v>60</v>
      </c>
      <c r="K30" s="70" t="s">
        <v>467</v>
      </c>
      <c r="L30" s="70">
        <v>0.2</v>
      </c>
      <c r="M30" s="70" t="s">
        <v>60</v>
      </c>
    </row>
    <row r="31" spans="1:13" x14ac:dyDescent="0.2">
      <c r="A31" s="166"/>
      <c r="B31" s="2" t="s">
        <v>331</v>
      </c>
      <c r="C31" s="2">
        <f>C29-C30</f>
        <v>0.13413739999999999</v>
      </c>
      <c r="D31" s="2" t="s">
        <v>60</v>
      </c>
      <c r="F31" s="166"/>
      <c r="G31" s="23" t="s">
        <v>496</v>
      </c>
      <c r="H31" s="22">
        <f>H29-H30</f>
        <v>0.13413739999999999</v>
      </c>
      <c r="I31" s="22" t="s">
        <v>60</v>
      </c>
      <c r="K31" s="21" t="s">
        <v>451</v>
      </c>
      <c r="L31" s="21">
        <f>ID_shell-2*L_sb_shell</f>
        <v>0.53801518677032745</v>
      </c>
      <c r="M31" s="9" t="s">
        <v>60</v>
      </c>
    </row>
    <row r="32" spans="1:13" x14ac:dyDescent="0.2">
      <c r="A32" s="166"/>
      <c r="B32" s="2" t="s">
        <v>332</v>
      </c>
      <c r="C32" s="2">
        <f>mdot_shell/(density_shell_in*PI()/4*ID_nozz_s^2)</f>
        <v>2.6063588959066135</v>
      </c>
      <c r="D32" s="23" t="s">
        <v>231</v>
      </c>
      <c r="F32" s="166"/>
      <c r="G32" s="23" t="s">
        <v>497</v>
      </c>
      <c r="H32" s="22">
        <f>mdot_tube/(dens_tube_in*PI()/4*ID_nozz_t^2)</f>
        <v>1.7195429741142343</v>
      </c>
      <c r="I32" s="23" t="s">
        <v>231</v>
      </c>
      <c r="K32" s="21" t="s">
        <v>115</v>
      </c>
      <c r="L32" s="21">
        <v>4.8000000000000001E-2</v>
      </c>
      <c r="M32" s="9" t="s">
        <v>60</v>
      </c>
    </row>
    <row r="33" spans="1:13" x14ac:dyDescent="0.2">
      <c r="A33" s="167"/>
      <c r="B33" s="2" t="s">
        <v>307</v>
      </c>
      <c r="C33" s="2" t="s">
        <v>96</v>
      </c>
      <c r="D33" s="2"/>
      <c r="F33" s="167"/>
      <c r="G33" s="22" t="s">
        <v>307</v>
      </c>
      <c r="H33" s="23" t="s">
        <v>96</v>
      </c>
      <c r="I33" s="22"/>
      <c r="K33" s="8" t="s">
        <v>452</v>
      </c>
      <c r="L33" s="10">
        <f>B_C</f>
        <v>25</v>
      </c>
      <c r="M33" s="9" t="s">
        <v>253</v>
      </c>
    </row>
    <row r="34" spans="1:13" ht="15" customHeight="1" x14ac:dyDescent="0.2">
      <c r="A34" s="165" t="s">
        <v>505</v>
      </c>
      <c r="B34" s="2" t="s">
        <v>333</v>
      </c>
      <c r="C34" s="2">
        <f>density_shell_out</f>
        <v>658</v>
      </c>
      <c r="D34" s="22" t="s">
        <v>26</v>
      </c>
      <c r="F34" s="166" t="s">
        <v>491</v>
      </c>
      <c r="G34" s="22" t="s">
        <v>333</v>
      </c>
      <c r="H34" s="22">
        <f>dens_tube_out</f>
        <v>692.7</v>
      </c>
      <c r="I34" s="22" t="s">
        <v>26</v>
      </c>
      <c r="K34" s="8" t="s">
        <v>453</v>
      </c>
      <c r="L34" s="10">
        <f>L_b_kern</f>
        <v>0.25</v>
      </c>
      <c r="M34" s="21" t="s">
        <v>60</v>
      </c>
    </row>
    <row r="35" spans="1:13" ht="15" customHeight="1" x14ac:dyDescent="0.2">
      <c r="A35" s="166"/>
      <c r="B35" s="2" t="s">
        <v>334</v>
      </c>
      <c r="C35" s="2">
        <f>mdot_shell/(C26*C34)</f>
        <v>1.3042585102394118E-2</v>
      </c>
      <c r="D35" s="22" t="s">
        <v>59</v>
      </c>
      <c r="F35" s="166"/>
      <c r="G35" s="22" t="s">
        <v>334</v>
      </c>
      <c r="H35" s="22">
        <f>mdot_tube/(H34*H26)</f>
        <v>6.8755548583711579E-3</v>
      </c>
      <c r="I35" s="22" t="s">
        <v>59</v>
      </c>
      <c r="K35" s="21" t="s">
        <v>454</v>
      </c>
      <c r="L35" s="21">
        <f>OD_tube+2*Ltb</f>
        <v>2.06375E-2</v>
      </c>
      <c r="M35" s="9" t="s">
        <v>60</v>
      </c>
    </row>
    <row r="36" spans="1:13" x14ac:dyDescent="0.2">
      <c r="A36" s="166"/>
      <c r="B36" s="2" t="s">
        <v>335</v>
      </c>
      <c r="C36" s="22">
        <f>(C35*4/PI())^0.5</f>
        <v>0.1288655699476858</v>
      </c>
      <c r="D36" s="23" t="s">
        <v>60</v>
      </c>
      <c r="F36" s="166"/>
      <c r="G36" s="22" t="s">
        <v>335</v>
      </c>
      <c r="H36" s="22">
        <f>(H35*4/PI())^0.5</f>
        <v>9.3564033355099274E-2</v>
      </c>
      <c r="I36" s="23" t="s">
        <v>60</v>
      </c>
      <c r="K36" s="73" t="s">
        <v>532</v>
      </c>
      <c r="L36" s="70">
        <f>1256/ro_material</f>
        <v>0.15991851285968933</v>
      </c>
      <c r="M36" s="73" t="s">
        <v>529</v>
      </c>
    </row>
    <row r="37" spans="1:13" x14ac:dyDescent="0.2">
      <c r="A37" s="166"/>
      <c r="B37" s="2" t="s">
        <v>329</v>
      </c>
      <c r="C37" s="22">
        <f>6*0.0254</f>
        <v>0.15239999999999998</v>
      </c>
      <c r="D37" s="23" t="s">
        <v>60</v>
      </c>
      <c r="F37" s="166"/>
      <c r="G37" s="23" t="s">
        <v>494</v>
      </c>
      <c r="H37" s="22">
        <f>6*0.0254</f>
        <v>0.15239999999999998</v>
      </c>
      <c r="I37" s="23" t="s">
        <v>60</v>
      </c>
    </row>
    <row r="38" spans="1:13" x14ac:dyDescent="0.2">
      <c r="A38" s="166"/>
      <c r="B38" s="2" t="s">
        <v>330</v>
      </c>
      <c r="C38" s="22">
        <f>0.719*0.0254</f>
        <v>1.8262599999999997E-2</v>
      </c>
      <c r="D38" s="23" t="s">
        <v>60</v>
      </c>
      <c r="F38" s="166"/>
      <c r="G38" s="23" t="s">
        <v>495</v>
      </c>
      <c r="H38" s="22">
        <f>0.719*0.0254</f>
        <v>1.8262599999999997E-2</v>
      </c>
      <c r="I38" s="23" t="s">
        <v>60</v>
      </c>
    </row>
    <row r="39" spans="1:13" ht="16" x14ac:dyDescent="0.2">
      <c r="A39" s="166"/>
      <c r="B39" s="2" t="s">
        <v>336</v>
      </c>
      <c r="C39" s="2">
        <f>C37-2*C38</f>
        <v>0.11587479999999999</v>
      </c>
      <c r="D39" s="23" t="s">
        <v>60</v>
      </c>
      <c r="F39" s="166"/>
      <c r="G39" s="22" t="s">
        <v>336</v>
      </c>
      <c r="H39" s="22">
        <f>H37-2*H38</f>
        <v>0.11587479999999999</v>
      </c>
      <c r="I39" s="23" t="s">
        <v>60</v>
      </c>
      <c r="K39" s="150" t="s">
        <v>490</v>
      </c>
      <c r="L39" s="150"/>
      <c r="M39" s="150"/>
    </row>
    <row r="40" spans="1:13" x14ac:dyDescent="0.2">
      <c r="A40" s="166"/>
      <c r="B40" s="66" t="s">
        <v>526</v>
      </c>
      <c r="C40" s="22">
        <f>mdot_shell/(C34*PI()/4*C39^2)</f>
        <v>3.769734509900124</v>
      </c>
      <c r="D40" s="23" t="s">
        <v>231</v>
      </c>
      <c r="F40" s="166"/>
      <c r="G40" s="23" t="s">
        <v>497</v>
      </c>
      <c r="H40" s="22">
        <f>mdot_tube/(H34*PI()/4*H39^2)</f>
        <v>1.9872606711652181</v>
      </c>
      <c r="I40" s="23" t="s">
        <v>231</v>
      </c>
      <c r="K40" s="21" t="s">
        <v>449</v>
      </c>
      <c r="L40" s="21">
        <v>6</v>
      </c>
      <c r="M40" s="21" t="s">
        <v>450</v>
      </c>
    </row>
    <row r="41" spans="1:13" x14ac:dyDescent="0.2">
      <c r="A41" s="167"/>
      <c r="B41" s="2" t="s">
        <v>307</v>
      </c>
      <c r="C41" s="23" t="s">
        <v>96</v>
      </c>
      <c r="D41" s="2"/>
      <c r="F41" s="167"/>
      <c r="G41" s="22" t="s">
        <v>307</v>
      </c>
      <c r="H41" s="23" t="s">
        <v>96</v>
      </c>
      <c r="I41" s="22"/>
      <c r="K41" s="21" t="s">
        <v>451</v>
      </c>
      <c r="L41" s="21">
        <v>9.4999999999999998E-3</v>
      </c>
      <c r="M41" s="9" t="s">
        <v>60</v>
      </c>
    </row>
    <row r="44" spans="1:13" ht="16" x14ac:dyDescent="0.2">
      <c r="B44" s="150" t="s">
        <v>504</v>
      </c>
      <c r="C44" s="150"/>
      <c r="D44" s="150"/>
      <c r="G44" s="150" t="s">
        <v>501</v>
      </c>
      <c r="H44" s="150"/>
      <c r="I44" s="150"/>
      <c r="K44" s="152" t="s">
        <v>502</v>
      </c>
      <c r="L44" s="153"/>
    </row>
    <row r="45" spans="1:13" x14ac:dyDescent="0.2">
      <c r="B45" s="22" t="s">
        <v>99</v>
      </c>
      <c r="C45" s="149" t="s">
        <v>506</v>
      </c>
      <c r="D45" s="149"/>
      <c r="G45" s="22" t="s">
        <v>62</v>
      </c>
      <c r="H45" s="23" t="s">
        <v>96</v>
      </c>
      <c r="I45" s="22"/>
      <c r="K45" s="22" t="s">
        <v>62</v>
      </c>
      <c r="L45" s="22" t="s">
        <v>96</v>
      </c>
      <c r="M45" s="5"/>
    </row>
    <row r="46" spans="1:13" x14ac:dyDescent="0.2">
      <c r="B46" s="22" t="s">
        <v>503</v>
      </c>
      <c r="C46" s="22">
        <f>6.07*0.0254</f>
        <v>0.15417800000000001</v>
      </c>
      <c r="D46" s="23" t="s">
        <v>60</v>
      </c>
      <c r="G46" s="22" t="s">
        <v>499</v>
      </c>
      <c r="H46" s="22">
        <v>2</v>
      </c>
      <c r="I46" s="22"/>
      <c r="K46" s="70" t="s">
        <v>456</v>
      </c>
      <c r="L46" s="70">
        <v>0</v>
      </c>
      <c r="M46" s="5"/>
    </row>
    <row r="47" spans="1:13" x14ac:dyDescent="0.2">
      <c r="B47" s="23" t="s">
        <v>507</v>
      </c>
      <c r="C47" s="22">
        <f>6.63*0.0254</f>
        <v>0.168402</v>
      </c>
      <c r="D47" s="23" t="s">
        <v>60</v>
      </c>
      <c r="G47" s="22" t="s">
        <v>500</v>
      </c>
      <c r="H47" s="22">
        <f>D_s</f>
        <v>0.55879999999999996</v>
      </c>
      <c r="I47" s="23" t="s">
        <v>60</v>
      </c>
    </row>
    <row r="48" spans="1:13" x14ac:dyDescent="0.2">
      <c r="B48" s="23" t="s">
        <v>508</v>
      </c>
      <c r="C48" s="22">
        <f>(7+9/16)*0.0254</f>
        <v>0.19208749999999999</v>
      </c>
      <c r="D48" s="23" t="s">
        <v>60</v>
      </c>
      <c r="G48" s="70" t="s">
        <v>115</v>
      </c>
      <c r="H48" s="70">
        <f>CEILING(0.0064*1.2,0.001)</f>
        <v>8.0000000000000002E-3</v>
      </c>
      <c r="I48" s="70" t="s">
        <v>60</v>
      </c>
    </row>
    <row r="49" spans="2:13" ht="16" x14ac:dyDescent="0.2">
      <c r="B49" s="23" t="s">
        <v>509</v>
      </c>
      <c r="C49" s="22">
        <f>11*0.0254</f>
        <v>0.27939999999999998</v>
      </c>
      <c r="D49" s="23" t="s">
        <v>60</v>
      </c>
      <c r="K49" s="126" t="s">
        <v>601</v>
      </c>
      <c r="L49" s="125">
        <f>1.5*2.54/1000</f>
        <v>3.81E-3</v>
      </c>
      <c r="M49" s="127" t="s">
        <v>60</v>
      </c>
    </row>
    <row r="50" spans="2:13" ht="16" x14ac:dyDescent="0.2">
      <c r="B50" s="23" t="s">
        <v>510</v>
      </c>
      <c r="C50" s="22">
        <f>3.5*0.0254</f>
        <v>8.8899999999999993E-2</v>
      </c>
      <c r="D50" s="23" t="s">
        <v>60</v>
      </c>
      <c r="K50" s="126" t="s">
        <v>602</v>
      </c>
      <c r="L50" s="125">
        <f>0.12*SQRT(LMTD_N*ID_shell*PI()*3.28^2)*2.54/100</f>
        <v>1.8432467155355167E-2</v>
      </c>
      <c r="M50" s="127" t="s">
        <v>60</v>
      </c>
    </row>
    <row r="51" spans="2:13" x14ac:dyDescent="0.2">
      <c r="B51" s="23" t="s">
        <v>511</v>
      </c>
      <c r="C51" s="22">
        <f>1*0.0254</f>
        <v>2.5399999999999999E-2</v>
      </c>
      <c r="D51" s="23" t="s">
        <v>60</v>
      </c>
    </row>
    <row r="53" spans="2:13" ht="16" x14ac:dyDescent="0.2">
      <c r="G53" s="150" t="s">
        <v>545</v>
      </c>
      <c r="H53" s="150"/>
      <c r="K53" s="152" t="s">
        <v>599</v>
      </c>
      <c r="L53" s="154"/>
      <c r="M53" s="153"/>
    </row>
    <row r="54" spans="2:13" x14ac:dyDescent="0.2">
      <c r="G54" s="78" t="s">
        <v>99</v>
      </c>
      <c r="H54" s="78" t="s">
        <v>546</v>
      </c>
      <c r="K54" s="127" t="s">
        <v>600</v>
      </c>
      <c r="L54" s="75">
        <v>2.2499999999999999E-2</v>
      </c>
      <c r="M54" s="129" t="s">
        <v>59</v>
      </c>
    </row>
    <row r="55" spans="2:13" x14ac:dyDescent="0.2">
      <c r="G55" s="78" t="s">
        <v>547</v>
      </c>
      <c r="H55" s="78" t="s">
        <v>549</v>
      </c>
      <c r="K55" s="93" t="s">
        <v>62</v>
      </c>
      <c r="L55" s="128" t="s">
        <v>96</v>
      </c>
      <c r="M55" s="136"/>
    </row>
    <row r="56" spans="2:13" x14ac:dyDescent="0.2">
      <c r="G56" s="78" t="s">
        <v>548</v>
      </c>
      <c r="H56" s="78" t="s">
        <v>96</v>
      </c>
      <c r="K56" s="5"/>
      <c r="L56" s="5"/>
      <c r="M56" s="5"/>
    </row>
    <row r="57" spans="2:13" ht="16" x14ac:dyDescent="0.2">
      <c r="K57" s="152" t="s">
        <v>574</v>
      </c>
      <c r="L57" s="154"/>
      <c r="M57" s="153"/>
    </row>
    <row r="58" spans="2:13" x14ac:dyDescent="0.2">
      <c r="K58" s="127" t="s">
        <v>99</v>
      </c>
      <c r="L58" s="161" t="s">
        <v>573</v>
      </c>
      <c r="M58" s="162"/>
    </row>
    <row r="59" spans="2:13" x14ac:dyDescent="0.2">
      <c r="K59" s="127" t="s">
        <v>62</v>
      </c>
      <c r="L59" s="161" t="s">
        <v>576</v>
      </c>
      <c r="M59" s="162"/>
    </row>
    <row r="60" spans="2:13" ht="16" x14ac:dyDescent="0.2">
      <c r="G60" s="150" t="s">
        <v>550</v>
      </c>
      <c r="H60" s="150"/>
    </row>
    <row r="61" spans="2:13" ht="16" x14ac:dyDescent="0.2">
      <c r="G61" s="78" t="s">
        <v>99</v>
      </c>
      <c r="H61" s="78" t="s">
        <v>546</v>
      </c>
      <c r="K61" s="152" t="s">
        <v>575</v>
      </c>
      <c r="L61" s="154"/>
      <c r="M61" s="153"/>
    </row>
    <row r="62" spans="2:13" x14ac:dyDescent="0.2">
      <c r="G62" s="87" t="s">
        <v>547</v>
      </c>
      <c r="H62" s="87" t="s">
        <v>549</v>
      </c>
      <c r="K62" s="93" t="s">
        <v>99</v>
      </c>
      <c r="L62" s="159" t="s">
        <v>573</v>
      </c>
      <c r="M62" s="160"/>
    </row>
    <row r="63" spans="2:13" x14ac:dyDescent="0.2">
      <c r="G63" s="87" t="s">
        <v>548</v>
      </c>
      <c r="H63" s="87" t="s">
        <v>96</v>
      </c>
      <c r="K63" s="93" t="s">
        <v>62</v>
      </c>
      <c r="L63" s="161" t="s">
        <v>576</v>
      </c>
      <c r="M63" s="162"/>
    </row>
  </sheetData>
  <mergeCells count="31">
    <mergeCell ref="G53:H53"/>
    <mergeCell ref="G60:H60"/>
    <mergeCell ref="K2:M2"/>
    <mergeCell ref="A25:A33"/>
    <mergeCell ref="A34:A41"/>
    <mergeCell ref="B2:D2"/>
    <mergeCell ref="G2:I2"/>
    <mergeCell ref="K39:M39"/>
    <mergeCell ref="K7:M7"/>
    <mergeCell ref="K12:M12"/>
    <mergeCell ref="G24:I24"/>
    <mergeCell ref="B24:D24"/>
    <mergeCell ref="K17:M17"/>
    <mergeCell ref="B44:D44"/>
    <mergeCell ref="F34:F41"/>
    <mergeCell ref="F25:F33"/>
    <mergeCell ref="B19:D19"/>
    <mergeCell ref="C45:D45"/>
    <mergeCell ref="B18:D18"/>
    <mergeCell ref="K24:M24"/>
    <mergeCell ref="L26:M26"/>
    <mergeCell ref="L25:M25"/>
    <mergeCell ref="G44:I44"/>
    <mergeCell ref="K44:L44"/>
    <mergeCell ref="K53:M53"/>
    <mergeCell ref="K61:M61"/>
    <mergeCell ref="L62:M62"/>
    <mergeCell ref="L63:M63"/>
    <mergeCell ref="K57:M57"/>
    <mergeCell ref="L58:M58"/>
    <mergeCell ref="L59:M59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C15:O46"/>
  <sheetViews>
    <sheetView workbookViewId="0">
      <selection activeCell="M37" sqref="M37"/>
    </sheetView>
  </sheetViews>
  <sheetFormatPr baseColWidth="10" defaultColWidth="9.1640625" defaultRowHeight="15" x14ac:dyDescent="0.2"/>
  <cols>
    <col min="1" max="1" width="4.6640625" style="4" customWidth="1"/>
    <col min="2" max="2" width="2.1640625" style="4" customWidth="1"/>
    <col min="3" max="3" width="20.33203125" style="4" customWidth="1"/>
    <col min="4" max="4" width="9.1640625" style="4"/>
    <col min="5" max="5" width="6.6640625" style="4" customWidth="1"/>
    <col min="6" max="6" width="12" style="4" customWidth="1"/>
    <col min="7" max="7" width="16.6640625" style="4" customWidth="1"/>
    <col min="8" max="12" width="9.1640625" style="4"/>
    <col min="13" max="13" width="16.33203125" style="4" customWidth="1"/>
    <col min="14" max="14" width="9.1640625" style="4" customWidth="1"/>
    <col min="15" max="16384" width="9.1640625" style="4"/>
  </cols>
  <sheetData>
    <row r="15" spans="3:5" ht="16" x14ac:dyDescent="0.2">
      <c r="C15" s="170" t="s">
        <v>596</v>
      </c>
      <c r="D15" s="171"/>
      <c r="E15" s="172"/>
    </row>
    <row r="16" spans="3:5" x14ac:dyDescent="0.2">
      <c r="C16" s="2" t="s">
        <v>49</v>
      </c>
      <c r="D16" s="2">
        <f>total_A</f>
        <v>204.55197199172898</v>
      </c>
      <c r="E16" s="2" t="s">
        <v>59</v>
      </c>
    </row>
    <row r="17" spans="3:15" x14ac:dyDescent="0.2">
      <c r="C17" s="2" t="s">
        <v>393</v>
      </c>
      <c r="D17" s="2">
        <f>(f_d_cost+f_p_cost)*f_m_cost</f>
        <v>1.1120000000000001</v>
      </c>
      <c r="E17" s="2"/>
    </row>
    <row r="18" spans="3:15" x14ac:dyDescent="0.2">
      <c r="C18" s="2" t="s">
        <v>392</v>
      </c>
      <c r="D18" s="2">
        <v>0.8</v>
      </c>
      <c r="E18" s="2"/>
    </row>
    <row r="19" spans="3:15" x14ac:dyDescent="0.2">
      <c r="C19" s="2" t="s">
        <v>394</v>
      </c>
      <c r="D19" s="2">
        <v>0.312</v>
      </c>
      <c r="E19" s="2"/>
    </row>
    <row r="20" spans="3:15" x14ac:dyDescent="0.2">
      <c r="C20" s="2" t="s">
        <v>395</v>
      </c>
      <c r="D20" s="2">
        <v>1</v>
      </c>
      <c r="E20" s="2"/>
    </row>
    <row r="21" spans="3:15" x14ac:dyDescent="0.2">
      <c r="C21" s="2" t="s">
        <v>407</v>
      </c>
      <c r="D21" s="2">
        <v>539.1</v>
      </c>
      <c r="E21" s="2"/>
    </row>
    <row r="22" spans="3:15" x14ac:dyDescent="0.2">
      <c r="C22" s="116" t="s">
        <v>406</v>
      </c>
      <c r="D22" s="116">
        <f>(cost_index/318)*(8600+670*(total_A^0.83))*(f_c_cost+2.29)</f>
        <v>369502.2768007681</v>
      </c>
      <c r="E22" s="117" t="s">
        <v>218</v>
      </c>
    </row>
    <row r="25" spans="3:15" ht="16" x14ac:dyDescent="0.2">
      <c r="C25" s="150" t="s">
        <v>590</v>
      </c>
      <c r="D25" s="150"/>
      <c r="E25" s="150"/>
      <c r="M25" s="150" t="s">
        <v>438</v>
      </c>
      <c r="N25" s="150"/>
      <c r="O25" s="150"/>
    </row>
    <row r="26" spans="3:15" x14ac:dyDescent="0.2">
      <c r="C26" s="66" t="s">
        <v>49</v>
      </c>
      <c r="D26" s="63">
        <f>total_A</f>
        <v>204.55197199172898</v>
      </c>
      <c r="E26" s="66" t="s">
        <v>59</v>
      </c>
      <c r="M26" s="2" t="s">
        <v>311</v>
      </c>
      <c r="N26" s="2">
        <f>LMTD_N*no_tube*L_tube*PI()/4*(OD_tube^2-ID_tube^2)*ro_material</f>
        <v>3047.9677305448563</v>
      </c>
      <c r="O26" s="2" t="s">
        <v>320</v>
      </c>
    </row>
    <row r="27" spans="3:15" x14ac:dyDescent="0.2">
      <c r="C27" s="66" t="s">
        <v>517</v>
      </c>
      <c r="D27" s="63">
        <v>1.3</v>
      </c>
      <c r="E27" s="63"/>
      <c r="M27" s="2" t="s">
        <v>110</v>
      </c>
      <c r="N27" s="2">
        <f>LMTD_N*PI()/4*L_shell*(OD_Shell^2-ID_shell^2)*ro_material</f>
        <v>1548.5132475003686</v>
      </c>
      <c r="O27" s="2" t="s">
        <v>320</v>
      </c>
    </row>
    <row r="28" spans="3:15" x14ac:dyDescent="0.2">
      <c r="C28" s="66" t="s">
        <v>518</v>
      </c>
      <c r="D28" s="63">
        <v>0.8</v>
      </c>
      <c r="E28" s="63"/>
      <c r="M28" s="2" t="s">
        <v>312</v>
      </c>
      <c r="N28" s="73">
        <f>1256*LMTD_N</f>
        <v>2512</v>
      </c>
      <c r="O28" s="2" t="s">
        <v>320</v>
      </c>
    </row>
    <row r="29" spans="3:15" x14ac:dyDescent="0.2">
      <c r="C29" s="66" t="s">
        <v>62</v>
      </c>
      <c r="D29" s="63">
        <v>1</v>
      </c>
      <c r="E29" s="63"/>
      <c r="M29" s="2" t="s">
        <v>313</v>
      </c>
      <c r="N29" s="2">
        <f>((ID_shell^2)/4*PI()-(no_tube*(PI()/4)*OD_tube^2))*2*LMTD_N*thick_sheet*ro_material</f>
        <v>37.145628505613558</v>
      </c>
      <c r="O29" s="2" t="s">
        <v>320</v>
      </c>
    </row>
    <row r="30" spans="3:15" x14ac:dyDescent="0.2">
      <c r="C30" s="66" t="s">
        <v>519</v>
      </c>
      <c r="D30" s="63">
        <v>55000</v>
      </c>
      <c r="E30" s="63"/>
      <c r="J30" s="72"/>
      <c r="M30" s="2" t="s">
        <v>314</v>
      </c>
      <c r="N30" s="2">
        <f>2*LMTD_N/4*PI()*OD_Shell^2*thick_shell*ro_material</f>
        <v>73.512972543527511</v>
      </c>
      <c r="O30" s="2" t="s">
        <v>320</v>
      </c>
    </row>
    <row r="31" spans="3:15" x14ac:dyDescent="0.2">
      <c r="C31" s="66" t="s">
        <v>520</v>
      </c>
      <c r="D31" s="63">
        <f>539.1/444.2</f>
        <v>1.2136425033768574</v>
      </c>
      <c r="E31" s="63"/>
      <c r="M31" s="2" t="s">
        <v>315</v>
      </c>
      <c r="N31" s="2">
        <f>LMTD_N*((2*0.1*PI()/4*(OD_nozz_t^2-ID_nozz_t^2)+2*0.1*PI()/4*(OD_nozz_s^2-ID_nozz_ss^2))*ro_material)</f>
        <v>37.089341183417723</v>
      </c>
      <c r="O31" s="2" t="s">
        <v>320</v>
      </c>
    </row>
    <row r="32" spans="3:15" x14ac:dyDescent="0.2">
      <c r="C32" s="10" t="s">
        <v>406</v>
      </c>
      <c r="D32" s="8">
        <f>D31*D30*D29*D28*D27</f>
        <v>69420.351193156268</v>
      </c>
      <c r="E32" s="8" t="s">
        <v>218</v>
      </c>
      <c r="M32" s="2" t="s">
        <v>316</v>
      </c>
      <c r="N32" s="2">
        <v>0</v>
      </c>
      <c r="O32" s="2" t="s">
        <v>320</v>
      </c>
    </row>
    <row r="33" spans="3:15" x14ac:dyDescent="0.2">
      <c r="M33" s="2" t="s">
        <v>317</v>
      </c>
      <c r="N33" s="2">
        <f>voll_shell*density_shell_avg+vol_tube_i*dens_tube_avg</f>
        <v>1488.9679334934503</v>
      </c>
      <c r="O33" s="2" t="s">
        <v>320</v>
      </c>
    </row>
    <row r="34" spans="3:15" x14ac:dyDescent="0.2">
      <c r="M34" s="8" t="s">
        <v>318</v>
      </c>
      <c r="N34" s="8">
        <f>SUM(N26:N33)</f>
        <v>8745.1968537712346</v>
      </c>
      <c r="O34" s="8" t="s">
        <v>320</v>
      </c>
    </row>
    <row r="35" spans="3:15" ht="16" x14ac:dyDescent="0.2">
      <c r="C35" s="150" t="s">
        <v>591</v>
      </c>
      <c r="D35" s="150"/>
      <c r="E35" s="150"/>
      <c r="M35" s="8" t="s">
        <v>319</v>
      </c>
      <c r="N35" s="10">
        <f>SUM(N26:N32)</f>
        <v>7256.2289202777838</v>
      </c>
      <c r="O35" s="8" t="s">
        <v>320</v>
      </c>
    </row>
    <row r="36" spans="3:15" x14ac:dyDescent="0.2">
      <c r="C36" s="104" t="s">
        <v>49</v>
      </c>
      <c r="D36" s="103">
        <f>total_A</f>
        <v>204.55197199172898</v>
      </c>
      <c r="E36" s="104" t="s">
        <v>59</v>
      </c>
    </row>
    <row r="37" spans="3:15" x14ac:dyDescent="0.2">
      <c r="C37" s="104" t="s">
        <v>517</v>
      </c>
      <c r="D37" s="103">
        <v>1.2</v>
      </c>
      <c r="E37" s="103"/>
    </row>
    <row r="38" spans="3:15" x14ac:dyDescent="0.2">
      <c r="C38" s="104" t="s">
        <v>519</v>
      </c>
      <c r="D38" s="103">
        <v>20000</v>
      </c>
      <c r="E38" s="103"/>
    </row>
    <row r="39" spans="3:15" x14ac:dyDescent="0.2">
      <c r="C39" s="104" t="s">
        <v>597</v>
      </c>
      <c r="D39" s="103">
        <f>539.1/395.6</f>
        <v>1.3627401415571283</v>
      </c>
      <c r="E39" s="103"/>
      <c r="H39" s="115"/>
    </row>
    <row r="40" spans="3:15" x14ac:dyDescent="0.2">
      <c r="C40" s="125" t="s">
        <v>406</v>
      </c>
      <c r="D40" s="125">
        <f>D38*D37*(D39)</f>
        <v>32705.76339737108</v>
      </c>
      <c r="E40" s="125" t="s">
        <v>218</v>
      </c>
      <c r="F40" s="115"/>
    </row>
    <row r="43" spans="3:15" ht="16" x14ac:dyDescent="0.2">
      <c r="C43" s="150" t="s">
        <v>592</v>
      </c>
      <c r="D43" s="150"/>
      <c r="E43" s="150"/>
    </row>
    <row r="44" spans="3:15" x14ac:dyDescent="0.2">
      <c r="C44" s="104" t="s">
        <v>593</v>
      </c>
      <c r="D44" s="103">
        <f>N35</f>
        <v>7256.2289202777838</v>
      </c>
      <c r="E44" s="104" t="s">
        <v>59</v>
      </c>
    </row>
    <row r="45" spans="3:15" x14ac:dyDescent="0.2">
      <c r="C45" s="104" t="s">
        <v>594</v>
      </c>
      <c r="D45" s="103">
        <v>7</v>
      </c>
      <c r="E45" s="104" t="s">
        <v>218</v>
      </c>
    </row>
    <row r="46" spans="3:15" x14ac:dyDescent="0.2">
      <c r="C46" s="125" t="s">
        <v>406</v>
      </c>
      <c r="D46" s="125">
        <f>D44*D45</f>
        <v>50793.602441944488</v>
      </c>
      <c r="E46" s="125" t="s">
        <v>218</v>
      </c>
    </row>
  </sheetData>
  <mergeCells count="5">
    <mergeCell ref="C15:E15"/>
    <mergeCell ref="M25:O25"/>
    <mergeCell ref="C25:E25"/>
    <mergeCell ref="C35:E35"/>
    <mergeCell ref="C43:E43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13314" r:id="rId4">
          <objectPr defaultSize="0" autoPict="0" r:id="rId5">
            <anchor moveWithCells="1">
              <from>
                <xdr:col>5</xdr:col>
                <xdr:colOff>457200</xdr:colOff>
                <xdr:row>17</xdr:row>
                <xdr:rowOff>76200</xdr:rowOff>
              </from>
              <to>
                <xdr:col>11</xdr:col>
                <xdr:colOff>711200</xdr:colOff>
                <xdr:row>20</xdr:row>
                <xdr:rowOff>76200</xdr:rowOff>
              </to>
            </anchor>
          </objectPr>
        </oleObject>
      </mc:Choice>
      <mc:Fallback>
        <oleObject progId="Equation.3" shapeId="13314" r:id="rId4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U76"/>
  <sheetViews>
    <sheetView topLeftCell="A13" workbookViewId="0">
      <selection activeCell="R49" sqref="R49"/>
    </sheetView>
  </sheetViews>
  <sheetFormatPr baseColWidth="10" defaultColWidth="9.1640625" defaultRowHeight="15" x14ac:dyDescent="0.2"/>
  <cols>
    <col min="1" max="1" width="8.5" style="12" customWidth="1"/>
    <col min="2" max="2" width="9.1640625" style="12" customWidth="1"/>
    <col min="3" max="5" width="8.5" style="12" customWidth="1"/>
    <col min="6" max="8" width="9.1640625" style="12"/>
    <col min="9" max="12" width="8.5" style="12" customWidth="1"/>
    <col min="13" max="14" width="9.1640625" style="12"/>
    <col min="15" max="15" width="6.1640625" style="12" customWidth="1"/>
    <col min="16" max="17" width="9.1640625" style="12"/>
    <col min="18" max="18" width="12.1640625" style="12" customWidth="1"/>
    <col min="19" max="19" width="6.83203125" style="12" customWidth="1"/>
    <col min="20" max="16384" width="9.1640625" style="12"/>
  </cols>
  <sheetData>
    <row r="1" spans="1:21" ht="15" customHeight="1" x14ac:dyDescent="0.2">
      <c r="A1" s="96"/>
    </row>
    <row r="2" spans="1:21" x14ac:dyDescent="0.2">
      <c r="A2" s="96"/>
    </row>
    <row r="3" spans="1:21" x14ac:dyDescent="0.2">
      <c r="A3" s="96"/>
    </row>
    <row r="4" spans="1:21" x14ac:dyDescent="0.2">
      <c r="A4" s="96"/>
    </row>
    <row r="5" spans="1:21" ht="5.25" customHeight="1" x14ac:dyDescent="0.2">
      <c r="A5" s="96"/>
    </row>
    <row r="6" spans="1:21" ht="15" customHeight="1" x14ac:dyDescent="0.2">
      <c r="A6" s="96"/>
    </row>
    <row r="7" spans="1:21" x14ac:dyDescent="0.2">
      <c r="A7" s="96"/>
      <c r="U7" s="100"/>
    </row>
    <row r="8" spans="1:21" x14ac:dyDescent="0.2">
      <c r="A8" s="96"/>
    </row>
    <row r="9" spans="1:21" x14ac:dyDescent="0.2">
      <c r="A9" s="96"/>
    </row>
    <row r="10" spans="1:21" x14ac:dyDescent="0.2">
      <c r="A10" s="96"/>
    </row>
    <row r="11" spans="1:21" x14ac:dyDescent="0.2">
      <c r="A11" s="96"/>
      <c r="U11" s="100"/>
    </row>
    <row r="12" spans="1:21" x14ac:dyDescent="0.2">
      <c r="A12" s="96"/>
    </row>
    <row r="13" spans="1:21" x14ac:dyDescent="0.2">
      <c r="A13" s="96"/>
    </row>
    <row r="14" spans="1:21" x14ac:dyDescent="0.2">
      <c r="A14" s="96"/>
    </row>
    <row r="15" spans="1:21" x14ac:dyDescent="0.2">
      <c r="A15" s="96"/>
    </row>
    <row r="16" spans="1:21" ht="26.25" customHeight="1" x14ac:dyDescent="0.2">
      <c r="A16" s="96"/>
    </row>
    <row r="17" spans="1:19" ht="24" customHeight="1" x14ac:dyDescent="0.2">
      <c r="A17" s="96"/>
    </row>
    <row r="18" spans="1:19" ht="30" customHeight="1" x14ac:dyDescent="0.2">
      <c r="A18" s="96"/>
    </row>
    <row r="19" spans="1:19" x14ac:dyDescent="0.2">
      <c r="A19" s="96"/>
    </row>
    <row r="20" spans="1:19" ht="15" customHeight="1" x14ac:dyDescent="0.2"/>
    <row r="21" spans="1:19" ht="15.75" customHeight="1" x14ac:dyDescent="0.2">
      <c r="A21" s="101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8"/>
      <c r="M21" s="98"/>
      <c r="N21" s="98"/>
      <c r="O21" s="98"/>
      <c r="P21" s="98"/>
      <c r="Q21" s="98"/>
      <c r="R21" s="98"/>
      <c r="S21" s="98"/>
    </row>
    <row r="22" spans="1:19" ht="15.75" customHeight="1" x14ac:dyDescent="0.2">
      <c r="A22" s="101"/>
      <c r="B22" s="97"/>
      <c r="C22" s="97"/>
      <c r="D22" s="97"/>
      <c r="E22" s="97"/>
      <c r="F22" s="97"/>
      <c r="G22" s="97"/>
      <c r="H22" s="97"/>
      <c r="I22" s="97"/>
      <c r="J22" s="97"/>
      <c r="K22" s="98"/>
      <c r="L22" s="98"/>
      <c r="M22" s="98"/>
      <c r="N22" s="98"/>
      <c r="O22" s="98"/>
      <c r="P22" s="98"/>
      <c r="Q22" s="98"/>
      <c r="R22" s="98"/>
      <c r="S22" s="98"/>
    </row>
    <row r="23" spans="1:19" ht="15.75" customHeight="1" x14ac:dyDescent="0.2">
      <c r="A23" s="101"/>
      <c r="B23" s="97"/>
      <c r="C23" s="97"/>
      <c r="D23" s="97"/>
      <c r="E23" s="97"/>
      <c r="F23" s="97"/>
      <c r="G23" s="97"/>
      <c r="H23" s="97"/>
      <c r="I23" s="97"/>
      <c r="J23" s="97"/>
      <c r="K23" s="98"/>
      <c r="L23" s="98"/>
      <c r="M23" s="98"/>
      <c r="N23" s="98"/>
      <c r="O23" s="98"/>
      <c r="P23" s="98"/>
      <c r="Q23" s="98"/>
      <c r="R23" s="98"/>
      <c r="S23" s="98"/>
    </row>
    <row r="24" spans="1:19" ht="15.75" customHeight="1" x14ac:dyDescent="0.2">
      <c r="A24" s="102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</row>
    <row r="25" spans="1:19" ht="15.75" customHeight="1" x14ac:dyDescent="0.2">
      <c r="A25" s="102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</row>
    <row r="26" spans="1:19" ht="15.75" customHeight="1" x14ac:dyDescent="0.2">
      <c r="A26" s="102"/>
      <c r="B26" s="99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</row>
    <row r="27" spans="1:19" ht="15.75" customHeight="1" x14ac:dyDescent="0.2">
      <c r="A27" s="102"/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</row>
    <row r="28" spans="1:19" ht="15.75" customHeight="1" x14ac:dyDescent="0.2">
      <c r="A28" s="102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</row>
    <row r="29" spans="1:19" ht="15.75" customHeight="1" x14ac:dyDescent="0.2">
      <c r="A29" s="102"/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</row>
    <row r="30" spans="1:19" ht="15.75" customHeight="1" x14ac:dyDescent="0.2">
      <c r="A30" s="102"/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</row>
    <row r="31" spans="1:19" ht="15.75" customHeight="1" x14ac:dyDescent="0.2">
      <c r="A31" s="102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</row>
    <row r="32" spans="1:19" ht="15.75" customHeight="1" x14ac:dyDescent="0.2">
      <c r="A32" s="102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</row>
    <row r="33" spans="1:21" ht="15.75" customHeight="1" x14ac:dyDescent="0.2">
      <c r="A33" s="102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</row>
    <row r="34" spans="1:21" ht="15.75" customHeight="1" x14ac:dyDescent="0.2">
      <c r="A34" s="102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</row>
    <row r="35" spans="1:21" ht="15.75" customHeight="1" x14ac:dyDescent="0.2">
      <c r="A35" s="102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</row>
    <row r="36" spans="1:21" ht="15.75" customHeight="1" x14ac:dyDescent="0.2">
      <c r="A36" s="102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</row>
    <row r="37" spans="1:21" ht="15.75" customHeight="1" x14ac:dyDescent="0.2">
      <c r="A37" s="102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</row>
    <row r="38" spans="1:21" ht="15.75" customHeight="1" x14ac:dyDescent="0.2">
      <c r="A38" s="102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</row>
    <row r="39" spans="1:21" ht="15.75" customHeight="1" x14ac:dyDescent="0.2">
      <c r="A39" s="102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</row>
    <row r="40" spans="1:21" ht="15.75" customHeight="1" x14ac:dyDescent="0.2">
      <c r="A40" s="102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</row>
    <row r="41" spans="1:21" ht="15.75" customHeight="1" x14ac:dyDescent="0.2">
      <c r="A41" s="102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</row>
    <row r="42" spans="1:21" ht="15.75" customHeight="1" x14ac:dyDescent="0.2">
      <c r="A42" s="102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</row>
    <row r="43" spans="1:21" ht="15.75" customHeight="1" x14ac:dyDescent="0.2">
      <c r="A43" s="102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</row>
    <row r="44" spans="1:21" ht="15.75" customHeight="1" x14ac:dyDescent="0.2">
      <c r="A44" s="102"/>
      <c r="B44" s="4"/>
      <c r="C44" s="95"/>
      <c r="D44" s="95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4"/>
      <c r="U44" s="4"/>
    </row>
    <row r="45" spans="1:21" ht="15.75" customHeight="1" x14ac:dyDescent="0.2">
      <c r="B45" s="4"/>
      <c r="C45" s="95"/>
      <c r="D45" s="95"/>
      <c r="E45" s="174"/>
      <c r="F45" s="174"/>
      <c r="G45" s="174"/>
      <c r="H45" s="174"/>
      <c r="I45" s="174"/>
      <c r="J45" s="174"/>
      <c r="K45" s="174"/>
      <c r="L45" s="174"/>
      <c r="M45" s="174"/>
      <c r="N45" s="174"/>
      <c r="O45" s="174"/>
      <c r="P45" s="174"/>
      <c r="Q45" s="174"/>
      <c r="R45" s="174"/>
      <c r="S45" s="174"/>
      <c r="T45" s="4"/>
      <c r="U45" s="4"/>
    </row>
    <row r="46" spans="1:21" ht="15.75" customHeight="1" x14ac:dyDescent="0.2">
      <c r="B46" s="4"/>
      <c r="C46" s="95"/>
      <c r="D46" s="95"/>
      <c r="E46" s="174"/>
      <c r="F46" s="174"/>
      <c r="G46" s="174"/>
      <c r="H46" s="17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4"/>
      <c r="U46" s="4"/>
    </row>
    <row r="47" spans="1:21" ht="15" customHeight="1" x14ac:dyDescent="0.2">
      <c r="B47" s="4"/>
      <c r="C47" s="173"/>
      <c r="D47" s="173"/>
      <c r="E47" s="4"/>
      <c r="F47" s="95"/>
      <c r="G47" s="95"/>
      <c r="H47" s="95"/>
      <c r="I47" s="95"/>
      <c r="J47" s="95"/>
      <c r="K47" s="95"/>
      <c r="L47" s="4"/>
      <c r="M47" s="4"/>
      <c r="N47" s="4"/>
      <c r="O47" s="4"/>
      <c r="P47" s="4"/>
      <c r="Q47" s="4"/>
      <c r="R47" s="4"/>
      <c r="S47" s="4"/>
      <c r="T47" s="4"/>
      <c r="U47" s="4"/>
    </row>
    <row r="48" spans="1:21" ht="15" customHeight="1" x14ac:dyDescent="0.2">
      <c r="B48" s="4"/>
      <c r="C48" s="173"/>
      <c r="D48" s="173"/>
      <c r="E48" s="4"/>
      <c r="F48" s="95"/>
      <c r="G48" s="95"/>
      <c r="H48" s="95"/>
      <c r="I48" s="95"/>
      <c r="J48" s="95"/>
      <c r="K48" s="95"/>
      <c r="L48" s="4"/>
      <c r="M48" s="4"/>
      <c r="N48" s="4"/>
      <c r="O48" s="4"/>
      <c r="P48" s="4"/>
      <c r="Q48" s="4"/>
      <c r="R48" s="4"/>
      <c r="S48" s="4"/>
      <c r="T48" s="4"/>
      <c r="U48" s="4"/>
    </row>
    <row r="49" spans="2:21" ht="15.75" customHeight="1" x14ac:dyDescent="0.2">
      <c r="B49" s="4"/>
      <c r="C49" s="173"/>
      <c r="D49" s="173"/>
      <c r="E49" s="94"/>
      <c r="F49" s="94"/>
      <c r="G49" s="95"/>
      <c r="H49" s="95"/>
      <c r="I49" s="95"/>
      <c r="J49" s="95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</row>
    <row r="50" spans="2:21" ht="15.75" customHeight="1" x14ac:dyDescent="0.2">
      <c r="B50" s="4"/>
      <c r="C50" s="173"/>
      <c r="D50" s="173"/>
      <c r="E50" s="94"/>
      <c r="F50" s="94"/>
      <c r="G50" s="95"/>
      <c r="H50" s="95"/>
      <c r="I50" s="95"/>
      <c r="J50" s="95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</row>
    <row r="51" spans="2:21" ht="15.75" customHeight="1" x14ac:dyDescent="0.2">
      <c r="B51" s="4"/>
      <c r="C51" s="173"/>
      <c r="D51" s="173"/>
      <c r="E51" s="94"/>
      <c r="F51" s="94"/>
      <c r="G51" s="95"/>
      <c r="H51" s="95"/>
      <c r="I51" s="95"/>
      <c r="J51" s="95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</row>
    <row r="52" spans="2:21" ht="15.75" customHeight="1" x14ac:dyDescent="0.2">
      <c r="B52" s="4"/>
      <c r="C52" s="173"/>
      <c r="D52" s="173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</row>
    <row r="53" spans="2:21" ht="15.75" customHeight="1" x14ac:dyDescent="0.2">
      <c r="B53" s="4"/>
      <c r="C53" s="173"/>
      <c r="D53" s="173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</row>
    <row r="54" spans="2:21" ht="15.75" customHeight="1" x14ac:dyDescent="0.2">
      <c r="B54" s="4"/>
      <c r="C54" s="173"/>
      <c r="D54" s="173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</row>
    <row r="55" spans="2:21" ht="15.75" customHeight="1" x14ac:dyDescent="0.2">
      <c r="B55" s="4"/>
      <c r="C55" s="173"/>
      <c r="D55" s="17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</row>
    <row r="56" spans="2:21" ht="15.75" customHeight="1" x14ac:dyDescent="0.2">
      <c r="B56" s="4"/>
      <c r="C56" s="173"/>
      <c r="D56" s="173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</row>
    <row r="57" spans="2:21" ht="15.75" customHeight="1" x14ac:dyDescent="0.2">
      <c r="B57" s="4"/>
      <c r="C57" s="173"/>
      <c r="D57" s="173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</row>
    <row r="58" spans="2:21" ht="15.75" customHeight="1" x14ac:dyDescent="0.2">
      <c r="B58" s="4"/>
      <c r="C58" s="173"/>
      <c r="D58" s="173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</row>
    <row r="59" spans="2:21" ht="15.75" customHeight="1" x14ac:dyDescent="0.2">
      <c r="B59" s="4"/>
      <c r="C59" s="173"/>
      <c r="D59" s="173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</row>
    <row r="60" spans="2:21" ht="15.75" customHeight="1" x14ac:dyDescent="0.2">
      <c r="B60" s="4"/>
      <c r="C60" s="173"/>
      <c r="D60" s="173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</row>
    <row r="61" spans="2:21" ht="15.75" customHeight="1" x14ac:dyDescent="0.2">
      <c r="B61" s="4"/>
      <c r="C61" s="173"/>
      <c r="D61" s="173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</row>
    <row r="62" spans="2:21" ht="15.75" customHeight="1" x14ac:dyDescent="0.2">
      <c r="B62" s="4"/>
      <c r="C62" s="173"/>
      <c r="D62" s="173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</row>
    <row r="63" spans="2:21" ht="15.75" customHeight="1" x14ac:dyDescent="0.2">
      <c r="B63" s="4"/>
      <c r="C63" s="173"/>
      <c r="D63" s="173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</row>
    <row r="64" spans="2:21" ht="15.75" customHeight="1" x14ac:dyDescent="0.2">
      <c r="B64" s="4"/>
      <c r="C64" s="173"/>
      <c r="D64" s="173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</row>
    <row r="65" spans="2:21" ht="15.75" customHeight="1" x14ac:dyDescent="0.2">
      <c r="B65" s="4"/>
      <c r="C65" s="173"/>
      <c r="D65" s="173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</row>
    <row r="66" spans="2:21" ht="15.75" customHeight="1" x14ac:dyDescent="0.2">
      <c r="B66" s="4"/>
      <c r="C66" s="173"/>
      <c r="D66" s="173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</row>
    <row r="67" spans="2:21" ht="15.75" customHeight="1" x14ac:dyDescent="0.2">
      <c r="B67" s="4"/>
      <c r="C67" s="173"/>
      <c r="D67" s="173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</row>
    <row r="68" spans="2:21" ht="15.75" customHeight="1" x14ac:dyDescent="0.2">
      <c r="B68" s="4"/>
      <c r="C68" s="173"/>
      <c r="D68" s="173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</row>
    <row r="69" spans="2:21" ht="15.75" customHeight="1" x14ac:dyDescent="0.2">
      <c r="B69" s="4"/>
      <c r="C69" s="173"/>
      <c r="D69" s="173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0" spans="2:21" ht="15.75" customHeight="1" x14ac:dyDescent="0.2">
      <c r="B70" s="4"/>
      <c r="C70" s="173"/>
      <c r="D70" s="173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</row>
    <row r="71" spans="2:21" ht="15.75" customHeight="1" x14ac:dyDescent="0.2">
      <c r="B71" s="4"/>
      <c r="C71" s="173"/>
      <c r="D71" s="173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2:21" ht="15.75" customHeight="1" x14ac:dyDescent="0.2">
      <c r="B72" s="4"/>
      <c r="C72" s="173"/>
      <c r="D72" s="173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2:21" ht="15.75" customHeight="1" x14ac:dyDescent="0.2">
      <c r="B73" s="4"/>
      <c r="C73" s="173"/>
      <c r="D73" s="173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4" spans="2:21" ht="16.5" customHeight="1" x14ac:dyDescent="0.2">
      <c r="B74" s="4"/>
      <c r="C74" s="173"/>
      <c r="D74" s="173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5" spans="2:21" ht="21" customHeight="1" x14ac:dyDescent="0.2">
      <c r="B75" s="4"/>
      <c r="C75" s="5"/>
      <c r="D75" s="5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</row>
    <row r="76" spans="2:21" ht="16" hidden="1" x14ac:dyDescent="0.2">
      <c r="C76" s="86"/>
      <c r="D76" s="86"/>
    </row>
  </sheetData>
  <mergeCells count="4">
    <mergeCell ref="C66:D74"/>
    <mergeCell ref="C55:D65"/>
    <mergeCell ref="C47:D54"/>
    <mergeCell ref="E44:S46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K62"/>
  <sheetViews>
    <sheetView workbookViewId="0"/>
  </sheetViews>
  <sheetFormatPr baseColWidth="10" defaultColWidth="9.1640625" defaultRowHeight="15" x14ac:dyDescent="0.2"/>
  <cols>
    <col min="1" max="1" width="9.1640625" style="4"/>
    <col min="2" max="2" width="24" style="4" customWidth="1"/>
    <col min="3" max="3" width="15.83203125" style="4" customWidth="1"/>
    <col min="4" max="4" width="14" style="4" customWidth="1"/>
    <col min="5" max="5" width="9.1640625" style="4"/>
    <col min="6" max="6" width="13.83203125" style="4" customWidth="1"/>
    <col min="7" max="7" width="14.6640625" style="4" customWidth="1"/>
    <col min="8" max="8" width="11.83203125" style="4" customWidth="1"/>
    <col min="9" max="9" width="14.6640625" style="4" customWidth="1"/>
    <col min="10" max="10" width="9.1640625" style="4"/>
    <col min="11" max="11" width="13.5" style="4" customWidth="1"/>
    <col min="12" max="16384" width="9.1640625" style="4"/>
  </cols>
  <sheetData>
    <row r="1" spans="1:11" x14ac:dyDescent="0.2">
      <c r="A1" s="2">
        <v>1</v>
      </c>
      <c r="B1" s="176" t="s">
        <v>230</v>
      </c>
      <c r="C1" s="177"/>
      <c r="D1" s="177"/>
      <c r="E1" s="177"/>
      <c r="F1" s="177"/>
      <c r="G1" s="177"/>
      <c r="H1" s="177"/>
      <c r="I1" s="177"/>
      <c r="J1" s="177"/>
      <c r="K1" s="178"/>
    </row>
    <row r="2" spans="1:11" x14ac:dyDescent="0.2">
      <c r="A2" s="2">
        <v>2</v>
      </c>
      <c r="B2" s="179" t="s">
        <v>572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1:11" x14ac:dyDescent="0.2">
      <c r="A3" s="2">
        <v>3</v>
      </c>
      <c r="B3" s="179" t="s">
        <v>468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1:11" x14ac:dyDescent="0.2">
      <c r="A4" s="2">
        <v>4</v>
      </c>
      <c r="B4" s="176" t="s">
        <v>140</v>
      </c>
      <c r="C4" s="177"/>
      <c r="D4" s="177"/>
      <c r="E4" s="177"/>
      <c r="F4" s="177"/>
      <c r="G4" s="177"/>
      <c r="H4" s="177"/>
      <c r="I4" s="177"/>
      <c r="J4" s="177"/>
      <c r="K4" s="178"/>
    </row>
    <row r="5" spans="1:11" x14ac:dyDescent="0.2">
      <c r="A5" s="149">
        <v>5</v>
      </c>
      <c r="B5" s="5" t="s">
        <v>220</v>
      </c>
      <c r="C5" s="5"/>
      <c r="D5" s="5" t="s">
        <v>141</v>
      </c>
      <c r="E5" s="5"/>
      <c r="F5" s="5" t="s">
        <v>142</v>
      </c>
      <c r="G5" s="25" t="s">
        <v>470</v>
      </c>
      <c r="H5" s="5" t="s">
        <v>143</v>
      </c>
      <c r="I5" s="5" t="s">
        <v>221</v>
      </c>
      <c r="J5" s="25" t="s">
        <v>470</v>
      </c>
      <c r="K5" s="44"/>
    </row>
    <row r="6" spans="1:11" x14ac:dyDescent="0.2">
      <c r="A6" s="149"/>
      <c r="B6" s="5">
        <f>OD_Shell*1000</f>
        <v>560.01518677032743</v>
      </c>
      <c r="C6" s="5"/>
      <c r="D6" s="5"/>
      <c r="E6" s="25" t="s">
        <v>469</v>
      </c>
      <c r="F6" s="5" t="s">
        <v>144</v>
      </c>
      <c r="G6" s="25"/>
      <c r="H6" s="5"/>
      <c r="I6" s="5" t="s">
        <v>145</v>
      </c>
      <c r="J6" s="5">
        <v>2</v>
      </c>
      <c r="K6" s="45"/>
    </row>
    <row r="7" spans="1:11" x14ac:dyDescent="0.2">
      <c r="A7" s="149"/>
      <c r="B7" s="5">
        <f>L*1000</f>
        <v>6000</v>
      </c>
      <c r="C7" s="5"/>
      <c r="D7" s="5"/>
      <c r="E7" s="5"/>
      <c r="F7" s="5"/>
      <c r="G7" s="5"/>
      <c r="H7" s="5"/>
      <c r="I7" s="5"/>
      <c r="J7" s="5"/>
      <c r="K7" s="45"/>
    </row>
    <row r="8" spans="1:11" x14ac:dyDescent="0.2">
      <c r="A8" s="149">
        <v>6</v>
      </c>
      <c r="B8" s="5" t="s">
        <v>146</v>
      </c>
      <c r="C8" s="5"/>
      <c r="D8" s="5" t="s">
        <v>222</v>
      </c>
      <c r="E8" s="5" t="s">
        <v>147</v>
      </c>
      <c r="F8" s="5"/>
      <c r="G8" s="5" t="s">
        <v>148</v>
      </c>
      <c r="H8" s="5"/>
      <c r="I8" s="5" t="s">
        <v>223</v>
      </c>
      <c r="J8" s="5" t="s">
        <v>147</v>
      </c>
      <c r="K8" s="45" t="s">
        <v>149</v>
      </c>
    </row>
    <row r="9" spans="1:11" x14ac:dyDescent="0.2">
      <c r="A9" s="149"/>
      <c r="B9" s="5"/>
      <c r="C9" s="26">
        <v>1</v>
      </c>
      <c r="D9" s="26"/>
      <c r="E9" s="27" t="s">
        <v>150</v>
      </c>
      <c r="F9" s="26">
        <f>total_A</f>
        <v>204.55197199172898</v>
      </c>
      <c r="G9" s="26"/>
      <c r="H9" s="26">
        <v>2</v>
      </c>
      <c r="I9" s="26"/>
      <c r="J9" s="26" t="s">
        <v>150</v>
      </c>
      <c r="K9" s="46">
        <f>A_hex</f>
        <v>102.27598599586449</v>
      </c>
    </row>
    <row r="10" spans="1:11" x14ac:dyDescent="0.2">
      <c r="A10" s="2">
        <v>7</v>
      </c>
      <c r="B10" s="6" t="s">
        <v>436</v>
      </c>
      <c r="C10" s="5"/>
      <c r="D10" s="5"/>
      <c r="E10" s="5"/>
      <c r="F10" s="5"/>
      <c r="G10" s="5"/>
      <c r="H10" s="5"/>
      <c r="I10" s="5"/>
      <c r="J10" s="5"/>
      <c r="K10" s="46"/>
    </row>
    <row r="11" spans="1:11" x14ac:dyDescent="0.2">
      <c r="A11" s="2">
        <f>A10+1</f>
        <v>8</v>
      </c>
      <c r="B11" s="28"/>
      <c r="C11" s="29"/>
      <c r="D11" s="29"/>
      <c r="E11" s="29" t="s">
        <v>151</v>
      </c>
      <c r="F11" s="29"/>
      <c r="G11" s="29"/>
      <c r="H11" s="29"/>
      <c r="I11" s="29"/>
      <c r="J11" s="29" t="s">
        <v>152</v>
      </c>
      <c r="K11" s="30"/>
    </row>
    <row r="12" spans="1:11" x14ac:dyDescent="0.2">
      <c r="A12" s="2">
        <v>9</v>
      </c>
      <c r="B12" s="48" t="s">
        <v>153</v>
      </c>
      <c r="C12" s="28"/>
      <c r="D12" s="29" t="s">
        <v>154</v>
      </c>
      <c r="E12" s="29"/>
      <c r="F12" s="29"/>
      <c r="G12" s="29" t="s">
        <v>155</v>
      </c>
      <c r="H12" s="29"/>
      <c r="I12" s="29" t="s">
        <v>156</v>
      </c>
      <c r="J12" s="29"/>
      <c r="K12" s="30" t="s">
        <v>155</v>
      </c>
    </row>
    <row r="13" spans="1:11" x14ac:dyDescent="0.2">
      <c r="A13" s="2">
        <v>10</v>
      </c>
      <c r="B13" s="48" t="s">
        <v>157</v>
      </c>
      <c r="C13" s="28"/>
      <c r="D13" s="42" t="s">
        <v>15</v>
      </c>
      <c r="E13" s="29"/>
      <c r="F13" s="29"/>
      <c r="G13" s="42" t="s">
        <v>15</v>
      </c>
      <c r="H13" s="29"/>
      <c r="I13" s="42" t="s">
        <v>472</v>
      </c>
      <c r="J13" s="29"/>
      <c r="K13" s="43" t="s">
        <v>472</v>
      </c>
    </row>
    <row r="14" spans="1:11" x14ac:dyDescent="0.2">
      <c r="A14" s="2">
        <v>11</v>
      </c>
      <c r="B14" s="48" t="s">
        <v>158</v>
      </c>
      <c r="C14" s="28"/>
      <c r="D14" s="29">
        <f>mdot_shell</f>
        <v>26.158000000000005</v>
      </c>
      <c r="E14" s="29"/>
      <c r="F14" s="29"/>
      <c r="G14" s="29">
        <f>mdot_shell</f>
        <v>26.158000000000005</v>
      </c>
      <c r="H14" s="29"/>
      <c r="I14" s="29">
        <f>mdot_tube</f>
        <v>14.5167</v>
      </c>
      <c r="J14" s="29"/>
      <c r="K14" s="30">
        <f>mdot_tube</f>
        <v>14.5167</v>
      </c>
    </row>
    <row r="15" spans="1:11" x14ac:dyDescent="0.2">
      <c r="A15" s="2">
        <v>12</v>
      </c>
      <c r="B15" s="48" t="s">
        <v>159</v>
      </c>
      <c r="C15" s="28"/>
      <c r="D15" s="42" t="s">
        <v>473</v>
      </c>
      <c r="E15" s="29"/>
      <c r="F15" s="29"/>
      <c r="G15" s="42" t="s">
        <v>473</v>
      </c>
      <c r="H15" s="29"/>
      <c r="I15" s="42" t="s">
        <v>473</v>
      </c>
      <c r="J15" s="29"/>
      <c r="K15" s="43" t="s">
        <v>473</v>
      </c>
    </row>
    <row r="16" spans="1:11" x14ac:dyDescent="0.2">
      <c r="A16" s="2">
        <v>13</v>
      </c>
      <c r="B16" s="48" t="s">
        <v>160</v>
      </c>
      <c r="C16" s="28"/>
      <c r="D16" s="42">
        <f>mdot_shell</f>
        <v>26.158000000000005</v>
      </c>
      <c r="E16" s="29"/>
      <c r="F16" s="29"/>
      <c r="G16" s="42">
        <f>mdot_shell</f>
        <v>26.158000000000005</v>
      </c>
      <c r="H16" s="29"/>
      <c r="I16" s="42">
        <f>mdot_tube</f>
        <v>14.5167</v>
      </c>
      <c r="J16" s="29"/>
      <c r="K16" s="43">
        <f>mdot_tube</f>
        <v>14.5167</v>
      </c>
    </row>
    <row r="17" spans="1:11" x14ac:dyDescent="0.2">
      <c r="A17" s="2">
        <v>14</v>
      </c>
      <c r="B17" s="48" t="s">
        <v>161</v>
      </c>
      <c r="C17" s="28"/>
      <c r="D17" s="42" t="s">
        <v>473</v>
      </c>
      <c r="E17" s="29"/>
      <c r="F17" s="29"/>
      <c r="G17" s="42" t="s">
        <v>473</v>
      </c>
      <c r="H17" s="29"/>
      <c r="I17" s="42" t="s">
        <v>473</v>
      </c>
      <c r="J17" s="29"/>
      <c r="K17" s="43" t="s">
        <v>473</v>
      </c>
    </row>
    <row r="18" spans="1:11" x14ac:dyDescent="0.2">
      <c r="A18" s="2">
        <v>15</v>
      </c>
      <c r="B18" s="48" t="s">
        <v>162</v>
      </c>
      <c r="C18" s="28"/>
      <c r="D18" s="42" t="s">
        <v>473</v>
      </c>
      <c r="E18" s="29"/>
      <c r="F18" s="29"/>
      <c r="G18" s="42" t="s">
        <v>473</v>
      </c>
      <c r="H18" s="29"/>
      <c r="I18" s="42" t="s">
        <v>473</v>
      </c>
      <c r="J18" s="29"/>
      <c r="K18" s="43" t="s">
        <v>473</v>
      </c>
    </row>
    <row r="19" spans="1:11" x14ac:dyDescent="0.2">
      <c r="A19" s="2">
        <v>16</v>
      </c>
      <c r="B19" s="48" t="s">
        <v>163</v>
      </c>
      <c r="C19" s="28"/>
      <c r="D19" s="29">
        <v>189</v>
      </c>
      <c r="E19" s="29"/>
      <c r="F19" s="29"/>
      <c r="G19" s="29">
        <v>234</v>
      </c>
      <c r="H19" s="29"/>
      <c r="I19" s="29">
        <v>278.39999999999998</v>
      </c>
      <c r="J19" s="29"/>
      <c r="K19" s="30">
        <v>203</v>
      </c>
    </row>
    <row r="20" spans="1:11" x14ac:dyDescent="0.2">
      <c r="A20" s="2">
        <v>17</v>
      </c>
      <c r="B20" s="48" t="s">
        <v>164</v>
      </c>
      <c r="C20" s="28"/>
      <c r="D20" s="29">
        <f>density_shell_in</f>
        <v>710.2</v>
      </c>
      <c r="E20" s="29"/>
      <c r="F20" s="29"/>
      <c r="G20" s="29">
        <f>density_shell_out</f>
        <v>658</v>
      </c>
      <c r="H20" s="29"/>
      <c r="I20" s="29">
        <f>dens_tube_in</f>
        <v>597.4</v>
      </c>
      <c r="J20" s="29"/>
      <c r="K20" s="30">
        <f>dens_tube_out</f>
        <v>692.7</v>
      </c>
    </row>
    <row r="21" spans="1:11" x14ac:dyDescent="0.2">
      <c r="A21" s="2">
        <v>18</v>
      </c>
      <c r="B21" s="48" t="s">
        <v>165</v>
      </c>
      <c r="C21" s="28"/>
      <c r="D21" s="29">
        <f>mu_shell_in</f>
        <v>1.66E-4</v>
      </c>
      <c r="E21" s="29"/>
      <c r="F21" s="29"/>
      <c r="G21" s="29">
        <f>mu_shell_out</f>
        <v>1.21E-4</v>
      </c>
      <c r="H21" s="29"/>
      <c r="I21" s="29">
        <f>mu_tube_in</f>
        <v>9.2999999999999997E-5</v>
      </c>
      <c r="J21" s="29"/>
      <c r="K21" s="30">
        <f>mu_tube_out</f>
        <v>1.6000000000000001E-4</v>
      </c>
    </row>
    <row r="22" spans="1:11" x14ac:dyDescent="0.2">
      <c r="A22" s="2">
        <v>19</v>
      </c>
      <c r="B22" s="48" t="s">
        <v>166</v>
      </c>
      <c r="C22" s="28"/>
      <c r="D22" s="29" t="s">
        <v>473</v>
      </c>
      <c r="E22" s="29"/>
      <c r="F22" s="29"/>
      <c r="G22" s="42" t="s">
        <v>473</v>
      </c>
      <c r="H22" s="29"/>
      <c r="I22" s="29" t="s">
        <v>473</v>
      </c>
      <c r="J22" s="29"/>
      <c r="K22" s="30" t="s">
        <v>473</v>
      </c>
    </row>
    <row r="23" spans="1:11" x14ac:dyDescent="0.2">
      <c r="A23" s="2">
        <v>20</v>
      </c>
      <c r="B23" s="48" t="s">
        <v>167</v>
      </c>
      <c r="C23" s="28"/>
      <c r="D23" s="29" t="s">
        <v>473</v>
      </c>
      <c r="E23" s="29"/>
      <c r="F23" s="29"/>
      <c r="G23" s="29" t="s">
        <v>473</v>
      </c>
      <c r="H23" s="29"/>
      <c r="I23" s="29" t="s">
        <v>473</v>
      </c>
      <c r="J23" s="29"/>
      <c r="K23" s="30" t="s">
        <v>473</v>
      </c>
    </row>
    <row r="24" spans="1:11" x14ac:dyDescent="0.2">
      <c r="A24" s="2">
        <v>21</v>
      </c>
      <c r="B24" s="6" t="s">
        <v>474</v>
      </c>
      <c r="C24" s="28"/>
      <c r="D24" s="29">
        <f>cp_shell_in*1000</f>
        <v>2320</v>
      </c>
      <c r="E24" s="29"/>
      <c r="F24" s="29"/>
      <c r="G24" s="29">
        <f>cp_shell_out*1000</f>
        <v>2550</v>
      </c>
      <c r="H24" s="29"/>
      <c r="I24" s="29">
        <f>cp_tube_in*1000</f>
        <v>2890</v>
      </c>
      <c r="J24" s="29"/>
      <c r="K24" s="30">
        <f>cp_tube_out*1000</f>
        <v>2400</v>
      </c>
    </row>
    <row r="25" spans="1:11" x14ac:dyDescent="0.2">
      <c r="A25" s="2">
        <v>22</v>
      </c>
      <c r="B25" s="6" t="s">
        <v>476</v>
      </c>
      <c r="C25" s="28"/>
      <c r="D25" s="29">
        <f>k_shell_in</f>
        <v>0.1007</v>
      </c>
      <c r="E25" s="29"/>
      <c r="F25" s="29"/>
      <c r="G25" s="29">
        <f>k_shell_out</f>
        <v>8.7999999999999995E-2</v>
      </c>
      <c r="H25" s="29"/>
      <c r="I25" s="29">
        <f>k_tube_in</f>
        <v>7.4899999999999994E-2</v>
      </c>
      <c r="J25" s="29"/>
      <c r="K25" s="30">
        <f>k_tube_out</f>
        <v>7.9399999999999998E-2</v>
      </c>
    </row>
    <row r="26" spans="1:11" x14ac:dyDescent="0.2">
      <c r="A26" s="2">
        <v>23</v>
      </c>
      <c r="B26" s="6" t="s">
        <v>475</v>
      </c>
      <c r="C26" s="28"/>
      <c r="D26" s="29" t="s">
        <v>473</v>
      </c>
      <c r="E26" s="29"/>
      <c r="F26" s="29"/>
      <c r="G26" s="29" t="s">
        <v>473</v>
      </c>
      <c r="H26" s="29"/>
      <c r="I26" s="29" t="s">
        <v>473</v>
      </c>
      <c r="J26" s="29"/>
      <c r="K26" s="30" t="s">
        <v>473</v>
      </c>
    </row>
    <row r="27" spans="1:11" x14ac:dyDescent="0.2">
      <c r="A27" s="2">
        <v>24</v>
      </c>
      <c r="B27" s="48" t="s">
        <v>168</v>
      </c>
      <c r="C27" s="28"/>
      <c r="D27" s="29">
        <f>P_in_shell</f>
        <v>16.100000000000001</v>
      </c>
      <c r="E27" s="29"/>
      <c r="F27" s="29"/>
      <c r="G27" s="29">
        <f>P_out_shell</f>
        <v>15.872405778165973</v>
      </c>
      <c r="H27" s="29"/>
      <c r="I27" s="29">
        <f>P_in_tube</f>
        <v>11.9</v>
      </c>
      <c r="J27" s="29"/>
      <c r="K27" s="30">
        <f>P_out_tube</f>
        <v>11.802607976583468</v>
      </c>
    </row>
    <row r="28" spans="1:11" x14ac:dyDescent="0.2">
      <c r="A28" s="2">
        <v>25</v>
      </c>
      <c r="B28" s="48" t="s">
        <v>169</v>
      </c>
      <c r="C28" s="28"/>
      <c r="D28" s="29">
        <f>G_s/density_shell_in</f>
        <v>0.87848067740853231</v>
      </c>
      <c r="E28" s="29"/>
      <c r="F28" s="29"/>
      <c r="G28" s="29">
        <f>G_s/density_shell_out</f>
        <v>0.94817169771358611</v>
      </c>
      <c r="H28" s="29"/>
      <c r="I28" s="29">
        <f>G_tube/dens_tube_in</f>
        <v>1.9538805231093814</v>
      </c>
      <c r="J28" s="29"/>
      <c r="K28" s="30">
        <f>G_tube/dens_tube_out</f>
        <v>1.6850703399820186</v>
      </c>
    </row>
    <row r="29" spans="1:11" x14ac:dyDescent="0.2">
      <c r="A29" s="2">
        <v>26</v>
      </c>
      <c r="B29" s="6" t="s">
        <v>170</v>
      </c>
      <c r="C29" s="28"/>
      <c r="D29" s="61" t="s">
        <v>477</v>
      </c>
      <c r="E29" s="29">
        <f>deltaP_shell_bell_bar*10^5</f>
        <v>22759.422183402847</v>
      </c>
      <c r="F29" s="29"/>
      <c r="G29" s="29"/>
      <c r="H29" s="29"/>
      <c r="I29" s="42" t="s">
        <v>478</v>
      </c>
      <c r="J29" s="29">
        <f>deltaP_tube</f>
        <v>9739.2023416531101</v>
      </c>
      <c r="K29" s="30"/>
    </row>
    <row r="30" spans="1:11" x14ac:dyDescent="0.2">
      <c r="A30" s="2">
        <v>27</v>
      </c>
      <c r="B30" s="48" t="s">
        <v>171</v>
      </c>
      <c r="C30" s="28"/>
      <c r="D30" s="40">
        <v>2.9999999999999999E-7</v>
      </c>
      <c r="E30" s="29"/>
      <c r="F30" s="29"/>
      <c r="G30" s="29"/>
      <c r="H30" s="29"/>
      <c r="I30" s="40">
        <v>1.1000000000000001E-6</v>
      </c>
      <c r="J30" s="29"/>
      <c r="K30" s="30"/>
    </row>
    <row r="31" spans="1:11" x14ac:dyDescent="0.2">
      <c r="A31" s="2">
        <v>28</v>
      </c>
      <c r="B31" s="48" t="s">
        <v>172</v>
      </c>
      <c r="C31" s="28"/>
      <c r="D31" s="29">
        <f>duty_max/1000</f>
        <v>2876.0418101843993</v>
      </c>
      <c r="E31" s="29"/>
      <c r="F31" s="29"/>
      <c r="G31" s="180"/>
      <c r="H31" s="180"/>
      <c r="I31" s="180" t="s">
        <v>173</v>
      </c>
      <c r="J31" s="181"/>
      <c r="K31" s="2">
        <f>F_LMTD*LMTD</f>
        <v>19.424828180751231</v>
      </c>
    </row>
    <row r="32" spans="1:11" x14ac:dyDescent="0.2">
      <c r="A32" s="149">
        <v>29</v>
      </c>
      <c r="B32" s="48" t="s">
        <v>174</v>
      </c>
      <c r="C32" s="131"/>
      <c r="D32" s="130" t="s">
        <v>175</v>
      </c>
      <c r="E32" s="130">
        <f>U_dirty</f>
        <v>723.82626594091664</v>
      </c>
      <c r="F32" s="130" t="s">
        <v>176</v>
      </c>
      <c r="G32" s="130">
        <f>U_clean</f>
        <v>724.08589418389488</v>
      </c>
      <c r="H32" s="130"/>
      <c r="I32" s="180" t="s">
        <v>177</v>
      </c>
      <c r="J32" s="180"/>
      <c r="K32" s="134">
        <f>overdesign</f>
        <v>10</v>
      </c>
    </row>
    <row r="33" spans="1:11" x14ac:dyDescent="0.2">
      <c r="A33" s="149"/>
      <c r="B33" s="2"/>
      <c r="C33" s="131" t="s">
        <v>178</v>
      </c>
      <c r="D33" s="130"/>
      <c r="E33" s="130"/>
      <c r="F33" s="130"/>
      <c r="G33" s="130"/>
      <c r="H33" s="130"/>
      <c r="I33" s="130"/>
      <c r="J33" s="180" t="s">
        <v>179</v>
      </c>
      <c r="K33" s="181"/>
    </row>
    <row r="34" spans="1:11" x14ac:dyDescent="0.2">
      <c r="A34" s="2">
        <v>30</v>
      </c>
      <c r="B34" s="28"/>
      <c r="C34" s="29"/>
      <c r="D34" s="29"/>
      <c r="E34" s="29" t="s">
        <v>180</v>
      </c>
      <c r="F34" s="29"/>
      <c r="G34" s="29"/>
      <c r="H34" s="29" t="s">
        <v>181</v>
      </c>
      <c r="I34" s="30"/>
      <c r="J34" s="149"/>
      <c r="K34" s="149"/>
    </row>
    <row r="35" spans="1:11" x14ac:dyDescent="0.2">
      <c r="A35" s="2">
        <v>31</v>
      </c>
      <c r="B35" s="48" t="s">
        <v>182</v>
      </c>
      <c r="C35" s="49"/>
      <c r="D35" s="32"/>
      <c r="E35" s="32"/>
      <c r="F35" s="32"/>
      <c r="G35" s="32"/>
      <c r="H35" s="32"/>
      <c r="I35" s="33"/>
      <c r="J35" s="149"/>
      <c r="K35" s="149"/>
    </row>
    <row r="36" spans="1:11" x14ac:dyDescent="0.2">
      <c r="A36" s="2">
        <v>32</v>
      </c>
      <c r="B36" s="6" t="s">
        <v>479</v>
      </c>
      <c r="C36" s="50"/>
      <c r="D36" s="34"/>
      <c r="E36" s="34">
        <v>260</v>
      </c>
      <c r="F36" s="34"/>
      <c r="G36" s="34"/>
      <c r="H36" s="34">
        <v>325</v>
      </c>
      <c r="I36" s="35"/>
      <c r="J36" s="149"/>
      <c r="K36" s="149"/>
    </row>
    <row r="37" spans="1:11" x14ac:dyDescent="0.2">
      <c r="A37" s="2">
        <v>33</v>
      </c>
      <c r="B37" s="48" t="s">
        <v>183</v>
      </c>
      <c r="C37" s="50"/>
      <c r="D37" s="34"/>
      <c r="E37" s="34">
        <v>1</v>
      </c>
      <c r="F37" s="34"/>
      <c r="G37" s="34"/>
      <c r="H37" s="34">
        <f>pass_tube</f>
        <v>4</v>
      </c>
      <c r="I37" s="35"/>
      <c r="J37" s="149"/>
      <c r="K37" s="149"/>
    </row>
    <row r="38" spans="1:11" x14ac:dyDescent="0.2">
      <c r="A38" s="2">
        <v>34</v>
      </c>
      <c r="B38" s="48" t="s">
        <v>184</v>
      </c>
      <c r="C38" s="50"/>
      <c r="D38" s="34"/>
      <c r="E38" s="34">
        <v>3</v>
      </c>
      <c r="F38" s="34"/>
      <c r="G38" s="34"/>
      <c r="H38" s="34">
        <v>0</v>
      </c>
      <c r="I38" s="35"/>
      <c r="J38" s="149"/>
      <c r="K38" s="149"/>
    </row>
    <row r="39" spans="1:11" x14ac:dyDescent="0.2">
      <c r="A39" s="149">
        <v>35</v>
      </c>
      <c r="B39" s="53" t="s">
        <v>185</v>
      </c>
      <c r="C39" s="91"/>
      <c r="D39" s="26"/>
      <c r="E39" s="26"/>
      <c r="F39" s="26"/>
      <c r="G39" s="26"/>
      <c r="H39" s="26"/>
      <c r="I39" s="46"/>
      <c r="J39" s="149"/>
      <c r="K39" s="149"/>
    </row>
    <row r="40" spans="1:11" x14ac:dyDescent="0.2">
      <c r="A40" s="149"/>
      <c r="B40" s="53"/>
      <c r="C40" s="105" t="s">
        <v>186</v>
      </c>
      <c r="D40" s="109"/>
      <c r="E40" s="109"/>
      <c r="F40" s="109"/>
      <c r="G40" s="110"/>
      <c r="H40" s="2"/>
      <c r="I40" s="2"/>
      <c r="J40" s="149"/>
      <c r="K40" s="149"/>
    </row>
    <row r="41" spans="1:11" x14ac:dyDescent="0.2">
      <c r="A41" s="149">
        <v>36</v>
      </c>
      <c r="B41" s="54" t="s">
        <v>187</v>
      </c>
      <c r="C41" s="57"/>
      <c r="D41" s="42" t="s">
        <v>224</v>
      </c>
      <c r="E41" s="109">
        <f>OD_tube*1000</f>
        <v>19.05</v>
      </c>
      <c r="F41" s="109" t="s">
        <v>188</v>
      </c>
      <c r="G41" s="110">
        <v>14</v>
      </c>
      <c r="H41" s="2" t="s">
        <v>225</v>
      </c>
      <c r="I41" s="41">
        <v>6</v>
      </c>
      <c r="J41" s="47" t="s">
        <v>481</v>
      </c>
      <c r="K41" s="47">
        <v>90</v>
      </c>
    </row>
    <row r="42" spans="1:11" x14ac:dyDescent="0.2">
      <c r="A42" s="149"/>
      <c r="B42" s="60">
        <f>no_tube</f>
        <v>288</v>
      </c>
      <c r="C42" s="49"/>
      <c r="D42" s="118"/>
      <c r="E42" s="32"/>
      <c r="F42" s="32"/>
      <c r="G42" s="33"/>
      <c r="H42" s="31"/>
      <c r="I42" s="32"/>
      <c r="J42" s="32"/>
      <c r="K42" s="33"/>
    </row>
    <row r="43" spans="1:11" x14ac:dyDescent="0.2">
      <c r="A43" s="2">
        <v>37</v>
      </c>
      <c r="B43" s="62" t="s">
        <v>189</v>
      </c>
      <c r="C43" s="119" t="s">
        <v>480</v>
      </c>
      <c r="D43" s="120" t="s">
        <v>190</v>
      </c>
      <c r="E43" s="38" t="s">
        <v>96</v>
      </c>
      <c r="F43" s="37"/>
      <c r="G43" s="39"/>
      <c r="H43" s="36"/>
      <c r="I43" s="34"/>
      <c r="J43" s="34"/>
      <c r="K43" s="35"/>
    </row>
    <row r="44" spans="1:11" x14ac:dyDescent="0.2">
      <c r="A44" s="2">
        <v>38</v>
      </c>
      <c r="B44" s="53" t="s">
        <v>191</v>
      </c>
      <c r="C44" s="105"/>
      <c r="D44" s="56" t="s">
        <v>226</v>
      </c>
      <c r="E44" s="106">
        <f>ID_shell*1000</f>
        <v>541.01518677032743</v>
      </c>
      <c r="F44" s="106" t="s">
        <v>192</v>
      </c>
      <c r="G44" s="107">
        <f>OD_Shell*1000</f>
        <v>560.01518677032743</v>
      </c>
      <c r="H44" s="149" t="s">
        <v>193</v>
      </c>
      <c r="I44" s="175"/>
      <c r="J44" s="130"/>
      <c r="K44" s="134"/>
    </row>
    <row r="45" spans="1:11" x14ac:dyDescent="0.2">
      <c r="A45" s="2">
        <v>39</v>
      </c>
      <c r="B45" s="79" t="s">
        <v>194</v>
      </c>
      <c r="C45" s="28" t="s">
        <v>569</v>
      </c>
      <c r="D45" s="109"/>
      <c r="E45" s="106"/>
      <c r="F45" s="106" t="s">
        <v>195</v>
      </c>
      <c r="G45" s="107"/>
      <c r="H45" s="149" t="s">
        <v>196</v>
      </c>
      <c r="I45" s="175"/>
      <c r="J45" s="130" t="s">
        <v>569</v>
      </c>
      <c r="K45" s="134"/>
    </row>
    <row r="46" spans="1:11" x14ac:dyDescent="0.2">
      <c r="A46" s="2">
        <v>40</v>
      </c>
      <c r="B46" s="79" t="s">
        <v>197</v>
      </c>
      <c r="C46" s="58" t="s">
        <v>570</v>
      </c>
      <c r="D46" s="109"/>
      <c r="E46" s="106"/>
      <c r="F46" s="106" t="s">
        <v>195</v>
      </c>
      <c r="G46" s="107"/>
      <c r="H46" s="149" t="s">
        <v>198</v>
      </c>
      <c r="I46" s="175"/>
      <c r="J46" s="130"/>
      <c r="K46" s="134"/>
    </row>
    <row r="47" spans="1:11" x14ac:dyDescent="0.2">
      <c r="A47" s="2">
        <v>41</v>
      </c>
      <c r="B47" s="55" t="s">
        <v>199</v>
      </c>
      <c r="C47" s="75" t="s">
        <v>471</v>
      </c>
      <c r="D47" s="106"/>
      <c r="E47" s="106"/>
      <c r="F47" s="106" t="s">
        <v>200</v>
      </c>
      <c r="G47" s="107"/>
      <c r="H47" s="149" t="s">
        <v>201</v>
      </c>
      <c r="I47" s="175"/>
      <c r="J47" s="130"/>
      <c r="K47" s="134" t="s">
        <v>470</v>
      </c>
    </row>
    <row r="48" spans="1:11" x14ac:dyDescent="0.2">
      <c r="A48" s="2">
        <v>42</v>
      </c>
      <c r="B48" s="54" t="s">
        <v>202</v>
      </c>
      <c r="C48" s="108" t="s">
        <v>569</v>
      </c>
      <c r="D48" s="185" t="s">
        <v>482</v>
      </c>
      <c r="E48" s="177"/>
      <c r="F48" s="177"/>
      <c r="G48" s="107"/>
      <c r="H48" s="125" t="s">
        <v>203</v>
      </c>
      <c r="I48" s="131">
        <f>(D_s-L_sb)*1000</f>
        <v>557.92223901258694</v>
      </c>
      <c r="J48" s="130" t="s">
        <v>227</v>
      </c>
      <c r="K48" s="134">
        <v>2.2499999999999999E-2</v>
      </c>
    </row>
    <row r="49" spans="1:11" x14ac:dyDescent="0.2">
      <c r="A49" s="2">
        <v>43</v>
      </c>
      <c r="B49" s="55" t="s">
        <v>204</v>
      </c>
      <c r="C49" s="108" t="s">
        <v>473</v>
      </c>
      <c r="D49" s="121"/>
      <c r="E49" s="106"/>
      <c r="F49" s="106"/>
      <c r="G49" s="107"/>
      <c r="H49" s="48" t="s">
        <v>205</v>
      </c>
      <c r="I49" s="133" t="s">
        <v>458</v>
      </c>
      <c r="J49" s="132"/>
      <c r="K49" s="134"/>
    </row>
    <row r="50" spans="1:11" x14ac:dyDescent="0.2">
      <c r="A50" s="2">
        <v>44</v>
      </c>
      <c r="B50" s="55" t="s">
        <v>206</v>
      </c>
      <c r="C50" s="57" t="s">
        <v>471</v>
      </c>
      <c r="D50" s="113"/>
      <c r="E50" s="106"/>
      <c r="F50" s="106"/>
      <c r="G50" s="107"/>
      <c r="H50" s="48" t="s">
        <v>207</v>
      </c>
      <c r="I50" s="133" t="s">
        <v>473</v>
      </c>
      <c r="J50" s="132" t="s">
        <v>208</v>
      </c>
      <c r="K50" s="43" t="s">
        <v>473</v>
      </c>
    </row>
    <row r="51" spans="1:11" x14ac:dyDescent="0.2">
      <c r="A51" s="2">
        <v>45</v>
      </c>
      <c r="B51" s="175" t="s">
        <v>209</v>
      </c>
      <c r="C51" s="180"/>
      <c r="D51" s="180"/>
      <c r="E51" s="106"/>
      <c r="F51" s="106"/>
      <c r="G51" s="106"/>
      <c r="H51" s="42" t="s">
        <v>533</v>
      </c>
      <c r="I51" s="109"/>
      <c r="J51" s="109"/>
      <c r="K51" s="110"/>
    </row>
    <row r="52" spans="1:11" x14ac:dyDescent="0.2">
      <c r="A52" s="2">
        <v>46</v>
      </c>
      <c r="B52" s="75" t="s">
        <v>536</v>
      </c>
      <c r="C52" s="76" t="s">
        <v>567</v>
      </c>
      <c r="D52" s="113" t="s">
        <v>483</v>
      </c>
      <c r="E52" s="106"/>
      <c r="F52" s="106"/>
      <c r="G52" s="106"/>
      <c r="H52" s="106"/>
      <c r="I52" s="106"/>
      <c r="J52" s="106"/>
      <c r="K52" s="110" t="s">
        <v>195</v>
      </c>
    </row>
    <row r="53" spans="1:11" x14ac:dyDescent="0.2">
      <c r="A53" s="2">
        <v>47</v>
      </c>
      <c r="B53" s="122" t="s">
        <v>210</v>
      </c>
      <c r="C53" s="123">
        <f>CEILING(ro_in_shell*V_nozz_in_shell^2,1)</f>
        <v>4825</v>
      </c>
      <c r="D53" s="123"/>
      <c r="E53" s="109"/>
      <c r="F53" s="109" t="s">
        <v>211</v>
      </c>
      <c r="G53" s="109"/>
      <c r="H53" s="109"/>
      <c r="I53" s="109"/>
      <c r="J53" s="109" t="s">
        <v>212</v>
      </c>
      <c r="K53" s="110"/>
    </row>
    <row r="54" spans="1:11" x14ac:dyDescent="0.2">
      <c r="A54" s="2">
        <v>48</v>
      </c>
      <c r="B54" s="175" t="s">
        <v>213</v>
      </c>
      <c r="C54" s="180"/>
      <c r="D54" s="42" t="s">
        <v>534</v>
      </c>
      <c r="E54" s="109"/>
      <c r="F54" s="180" t="s">
        <v>535</v>
      </c>
      <c r="G54" s="180"/>
      <c r="H54" s="180"/>
      <c r="I54" s="180"/>
      <c r="J54" s="112"/>
      <c r="K54" s="90"/>
    </row>
    <row r="55" spans="1:11" x14ac:dyDescent="0.2">
      <c r="A55" s="2">
        <v>49</v>
      </c>
      <c r="B55" s="105" t="s">
        <v>214</v>
      </c>
      <c r="C55" s="113" t="s">
        <v>471</v>
      </c>
      <c r="D55" s="106"/>
      <c r="E55" s="106" t="s">
        <v>200</v>
      </c>
      <c r="F55" s="106"/>
      <c r="G55" s="106"/>
      <c r="H55" s="106"/>
      <c r="I55" s="106"/>
      <c r="J55" s="106"/>
      <c r="K55" s="110"/>
    </row>
    <row r="56" spans="1:11" x14ac:dyDescent="0.2">
      <c r="A56" s="2">
        <v>50</v>
      </c>
      <c r="B56" s="105"/>
      <c r="C56" s="163" t="s">
        <v>568</v>
      </c>
      <c r="D56" s="163"/>
      <c r="E56" s="163"/>
      <c r="F56" s="163"/>
      <c r="G56" s="177" t="s">
        <v>215</v>
      </c>
      <c r="H56" s="177"/>
      <c r="I56" s="113" t="s">
        <v>484</v>
      </c>
      <c r="J56" s="106"/>
      <c r="K56" s="110" t="s">
        <v>195</v>
      </c>
    </row>
    <row r="57" spans="1:11" x14ac:dyDescent="0.2">
      <c r="A57" s="2">
        <v>51</v>
      </c>
      <c r="B57" s="183" t="s">
        <v>228</v>
      </c>
      <c r="C57" s="184"/>
      <c r="D57" s="184"/>
      <c r="E57" s="112"/>
      <c r="F57" s="180" t="s">
        <v>216</v>
      </c>
      <c r="G57" s="180"/>
      <c r="H57" s="106">
        <f>SUM(H26:H32)+(voll_shell+vol_tube_i)*1000</f>
        <v>2210.6113993426461</v>
      </c>
      <c r="I57" s="109" t="s">
        <v>229</v>
      </c>
      <c r="J57" s="109"/>
      <c r="K57" s="110"/>
    </row>
    <row r="58" spans="1:11" x14ac:dyDescent="0.2">
      <c r="A58" s="2">
        <v>52</v>
      </c>
      <c r="B58" s="51" t="s">
        <v>217</v>
      </c>
      <c r="C58" s="52"/>
      <c r="D58" s="124">
        <f>CEILING(Estimated_Cost_Peters,50)</f>
        <v>69450</v>
      </c>
      <c r="E58" s="124" t="s">
        <v>218</v>
      </c>
      <c r="F58" s="124"/>
      <c r="G58" s="124"/>
      <c r="H58" s="124"/>
      <c r="I58" s="109">
        <f>CEILING(SUM('Cost &amp; Weight Estimation'!N26,'Cost &amp; Weight Estimation'!N28,'Cost &amp; Weight Estimation'!N29),5)</f>
        <v>5600</v>
      </c>
      <c r="J58" s="109"/>
      <c r="K58" s="39"/>
    </row>
    <row r="59" spans="1:11" x14ac:dyDescent="0.2">
      <c r="A59" s="2">
        <v>53</v>
      </c>
      <c r="B59" s="111"/>
      <c r="C59" s="112" t="s">
        <v>219</v>
      </c>
      <c r="D59" s="109"/>
      <c r="E59" s="182" t="s">
        <v>486</v>
      </c>
      <c r="F59" s="163"/>
      <c r="G59" s="163"/>
      <c r="H59" s="59" t="s">
        <v>485</v>
      </c>
      <c r="I59" s="38"/>
      <c r="J59" s="37"/>
      <c r="K59" s="39"/>
    </row>
    <row r="62" spans="1:11" x14ac:dyDescent="0.2">
      <c r="G62" s="5"/>
    </row>
  </sheetData>
  <mergeCells count="27">
    <mergeCell ref="H45:I45"/>
    <mergeCell ref="H46:I46"/>
    <mergeCell ref="H47:I47"/>
    <mergeCell ref="E59:G59"/>
    <mergeCell ref="B57:D57"/>
    <mergeCell ref="F57:G57"/>
    <mergeCell ref="B51:D51"/>
    <mergeCell ref="B54:C54"/>
    <mergeCell ref="F54:I54"/>
    <mergeCell ref="G56:H56"/>
    <mergeCell ref="D48:F48"/>
    <mergeCell ref="C56:F56"/>
    <mergeCell ref="A41:A42"/>
    <mergeCell ref="H44:I44"/>
    <mergeCell ref="J34:K40"/>
    <mergeCell ref="A39:A40"/>
    <mergeCell ref="B1:K1"/>
    <mergeCell ref="B2:K2"/>
    <mergeCell ref="B3:K3"/>
    <mergeCell ref="B4:K4"/>
    <mergeCell ref="A5:A7"/>
    <mergeCell ref="A8:A9"/>
    <mergeCell ref="G31:H31"/>
    <mergeCell ref="I31:J31"/>
    <mergeCell ref="A32:A33"/>
    <mergeCell ref="I32:J32"/>
    <mergeCell ref="J33:K33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B2:I21"/>
  <sheetViews>
    <sheetView workbookViewId="0">
      <selection activeCell="K18" sqref="K18"/>
    </sheetView>
  </sheetViews>
  <sheetFormatPr baseColWidth="10" defaultColWidth="9.1640625" defaultRowHeight="15" x14ac:dyDescent="0.2"/>
  <cols>
    <col min="1" max="1" width="7.83203125" style="1" customWidth="1"/>
    <col min="2" max="2" width="4.83203125" style="1" customWidth="1"/>
    <col min="3" max="3" width="12" style="1" customWidth="1"/>
    <col min="4" max="4" width="13" style="1" customWidth="1"/>
    <col min="5" max="5" width="18.1640625" style="1" customWidth="1"/>
    <col min="6" max="6" width="20.6640625" style="1" customWidth="1"/>
    <col min="7" max="7" width="22.5" style="1" customWidth="1"/>
    <col min="8" max="8" width="16.83203125" style="1" customWidth="1"/>
    <col min="9" max="9" width="17" style="1" customWidth="1"/>
    <col min="10" max="11" width="8.5" style="1" customWidth="1"/>
    <col min="12" max="16384" width="9.1640625" style="1"/>
  </cols>
  <sheetData>
    <row r="2" spans="2:9" ht="15" customHeight="1" x14ac:dyDescent="0.2"/>
    <row r="3" spans="2:9" ht="33.75" customHeight="1" x14ac:dyDescent="0.35">
      <c r="B3" s="24"/>
      <c r="C3" s="189" t="s">
        <v>98</v>
      </c>
      <c r="D3" s="190"/>
      <c r="E3" s="190"/>
      <c r="F3" s="190"/>
      <c r="G3" s="190"/>
      <c r="H3" s="190"/>
      <c r="I3" s="191"/>
    </row>
    <row r="4" spans="2:9" ht="18" x14ac:dyDescent="0.2">
      <c r="B4" s="88" t="s">
        <v>498</v>
      </c>
      <c r="C4" s="192" t="s">
        <v>513</v>
      </c>
      <c r="D4" s="193"/>
      <c r="E4" s="193"/>
      <c r="F4" s="193"/>
      <c r="G4" s="193"/>
      <c r="H4" s="193"/>
      <c r="I4" s="194"/>
    </row>
    <row r="5" spans="2:9" ht="18" x14ac:dyDescent="0.2">
      <c r="B5" s="88" t="s">
        <v>408</v>
      </c>
      <c r="C5" s="195" t="s">
        <v>514</v>
      </c>
      <c r="D5" s="196"/>
      <c r="E5" s="196"/>
      <c r="F5" s="196"/>
      <c r="G5" s="196"/>
      <c r="H5" s="196"/>
      <c r="I5" s="197"/>
    </row>
    <row r="6" spans="2:9" ht="16" x14ac:dyDescent="0.2">
      <c r="B6" s="88" t="s">
        <v>409</v>
      </c>
      <c r="C6" s="186" t="s">
        <v>426</v>
      </c>
      <c r="D6" s="187"/>
      <c r="E6" s="187"/>
      <c r="F6" s="187"/>
      <c r="G6" s="187"/>
      <c r="H6" s="187"/>
      <c r="I6" s="188"/>
    </row>
    <row r="7" spans="2:9" ht="16" x14ac:dyDescent="0.2">
      <c r="B7" s="88" t="s">
        <v>410</v>
      </c>
      <c r="C7" s="186" t="s">
        <v>427</v>
      </c>
      <c r="D7" s="187"/>
      <c r="E7" s="187"/>
      <c r="F7" s="187"/>
      <c r="G7" s="187"/>
      <c r="H7" s="187"/>
      <c r="I7" s="188"/>
    </row>
    <row r="8" spans="2:9" ht="16" x14ac:dyDescent="0.2">
      <c r="B8" s="88" t="s">
        <v>411</v>
      </c>
      <c r="C8" s="186" t="s">
        <v>428</v>
      </c>
      <c r="D8" s="187"/>
      <c r="E8" s="187"/>
      <c r="F8" s="187"/>
      <c r="G8" s="187"/>
      <c r="H8" s="187"/>
      <c r="I8" s="188"/>
    </row>
    <row r="9" spans="2:9" ht="16" x14ac:dyDescent="0.2">
      <c r="B9" s="88" t="s">
        <v>421</v>
      </c>
      <c r="C9" s="186" t="s">
        <v>423</v>
      </c>
      <c r="D9" s="187"/>
      <c r="E9" s="187"/>
      <c r="F9" s="187"/>
      <c r="G9" s="187"/>
      <c r="H9" s="187"/>
      <c r="I9" s="188"/>
    </row>
    <row r="10" spans="2:9" ht="16" x14ac:dyDescent="0.2">
      <c r="B10" s="88" t="s">
        <v>412</v>
      </c>
      <c r="C10" s="186" t="s">
        <v>435</v>
      </c>
      <c r="D10" s="187"/>
      <c r="E10" s="187"/>
      <c r="F10" s="187"/>
      <c r="G10" s="187"/>
      <c r="H10" s="187"/>
      <c r="I10" s="188"/>
    </row>
    <row r="11" spans="2:9" ht="16" x14ac:dyDescent="0.2">
      <c r="B11" s="88" t="s">
        <v>413</v>
      </c>
      <c r="C11" s="186" t="s">
        <v>429</v>
      </c>
      <c r="D11" s="187"/>
      <c r="E11" s="187"/>
      <c r="F11" s="187"/>
      <c r="G11" s="187"/>
      <c r="H11" s="187"/>
      <c r="I11" s="188"/>
    </row>
    <row r="12" spans="2:9" ht="17" x14ac:dyDescent="0.2">
      <c r="B12" s="88" t="s">
        <v>414</v>
      </c>
      <c r="C12" s="207" t="s">
        <v>430</v>
      </c>
      <c r="D12" s="208"/>
      <c r="E12" s="208"/>
      <c r="F12" s="208"/>
      <c r="G12" s="208"/>
      <c r="H12" s="208"/>
      <c r="I12" s="209"/>
    </row>
    <row r="13" spans="2:9" ht="16" x14ac:dyDescent="0.2">
      <c r="B13" s="89" t="s">
        <v>419</v>
      </c>
      <c r="C13" s="210" t="s">
        <v>595</v>
      </c>
      <c r="D13" s="187"/>
      <c r="E13" s="187"/>
      <c r="F13" s="187"/>
      <c r="G13" s="187"/>
      <c r="H13" s="187"/>
      <c r="I13" s="188"/>
    </row>
    <row r="14" spans="2:9" ht="15" customHeight="1" x14ac:dyDescent="0.2">
      <c r="B14" s="89" t="s">
        <v>418</v>
      </c>
      <c r="C14" s="186" t="s">
        <v>431</v>
      </c>
      <c r="D14" s="187"/>
      <c r="E14" s="187"/>
      <c r="F14" s="187"/>
      <c r="G14" s="187"/>
      <c r="H14" s="187"/>
      <c r="I14" s="188"/>
    </row>
    <row r="15" spans="2:9" ht="18" x14ac:dyDescent="0.2">
      <c r="B15" s="89" t="s">
        <v>415</v>
      </c>
      <c r="C15" s="195" t="s">
        <v>515</v>
      </c>
      <c r="D15" s="196"/>
      <c r="E15" s="196"/>
      <c r="F15" s="196"/>
      <c r="G15" s="196"/>
      <c r="H15" s="196"/>
      <c r="I15" s="197"/>
    </row>
    <row r="16" spans="2:9" ht="16" x14ac:dyDescent="0.2">
      <c r="B16" s="89" t="s">
        <v>416</v>
      </c>
      <c r="C16" s="186" t="s">
        <v>432</v>
      </c>
      <c r="D16" s="187"/>
      <c r="E16" s="187"/>
      <c r="F16" s="187"/>
      <c r="G16" s="187"/>
      <c r="H16" s="187"/>
      <c r="I16" s="188"/>
    </row>
    <row r="17" spans="2:9" ht="16" x14ac:dyDescent="0.2">
      <c r="B17" s="89" t="s">
        <v>417</v>
      </c>
      <c r="C17" s="204" t="s">
        <v>434</v>
      </c>
      <c r="D17" s="205"/>
      <c r="E17" s="205"/>
      <c r="F17" s="205"/>
      <c r="G17" s="205"/>
      <c r="H17" s="205"/>
      <c r="I17" s="206"/>
    </row>
    <row r="18" spans="2:9" ht="18" x14ac:dyDescent="0.2">
      <c r="B18" s="89" t="s">
        <v>420</v>
      </c>
      <c r="C18" s="195" t="s">
        <v>516</v>
      </c>
      <c r="D18" s="211"/>
      <c r="E18" s="211"/>
      <c r="F18" s="211"/>
      <c r="G18" s="211"/>
      <c r="H18" s="211"/>
      <c r="I18" s="212"/>
    </row>
    <row r="19" spans="2:9" ht="16" x14ac:dyDescent="0.2">
      <c r="B19" s="89" t="s">
        <v>422</v>
      </c>
      <c r="C19" s="198" t="s">
        <v>589</v>
      </c>
      <c r="D19" s="199"/>
      <c r="E19" s="199"/>
      <c r="F19" s="199"/>
      <c r="G19" s="199"/>
      <c r="H19" s="199"/>
      <c r="I19" s="200"/>
    </row>
    <row r="20" spans="2:9" ht="16" x14ac:dyDescent="0.2">
      <c r="B20" s="89" t="s">
        <v>424</v>
      </c>
      <c r="C20" s="198" t="s">
        <v>433</v>
      </c>
      <c r="D20" s="199"/>
      <c r="E20" s="199"/>
      <c r="F20" s="199"/>
      <c r="G20" s="199"/>
      <c r="H20" s="199"/>
      <c r="I20" s="200"/>
    </row>
    <row r="21" spans="2:9" ht="16" x14ac:dyDescent="0.2">
      <c r="B21" s="89" t="s">
        <v>425</v>
      </c>
      <c r="C21" s="201" t="s">
        <v>512</v>
      </c>
      <c r="D21" s="202"/>
      <c r="E21" s="202"/>
      <c r="F21" s="202"/>
      <c r="G21" s="202"/>
      <c r="H21" s="202"/>
      <c r="I21" s="203"/>
    </row>
  </sheetData>
  <mergeCells count="19">
    <mergeCell ref="C20:I20"/>
    <mergeCell ref="C21:I21"/>
    <mergeCell ref="C9:I9"/>
    <mergeCell ref="C16:I16"/>
    <mergeCell ref="C15:I15"/>
    <mergeCell ref="C17:I17"/>
    <mergeCell ref="C19:I19"/>
    <mergeCell ref="C12:I12"/>
    <mergeCell ref="C14:I14"/>
    <mergeCell ref="C13:I13"/>
    <mergeCell ref="C11:I11"/>
    <mergeCell ref="C10:I10"/>
    <mergeCell ref="C18:I18"/>
    <mergeCell ref="C8:I8"/>
    <mergeCell ref="C3:I3"/>
    <mergeCell ref="C4:I4"/>
    <mergeCell ref="C5:I5"/>
    <mergeCell ref="C6:I6"/>
    <mergeCell ref="C7:I7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C3:J11"/>
  <sheetViews>
    <sheetView workbookViewId="0">
      <selection activeCell="I14" sqref="I14"/>
    </sheetView>
  </sheetViews>
  <sheetFormatPr baseColWidth="10" defaultColWidth="8.83203125" defaultRowHeight="15" x14ac:dyDescent="0.2"/>
  <cols>
    <col min="1" max="2" width="8.83203125" style="4"/>
    <col min="3" max="3" width="4.5" style="4" customWidth="1"/>
    <col min="4" max="6" width="8.83203125" style="4"/>
    <col min="7" max="7" width="14.6640625" style="4" customWidth="1"/>
    <col min="8" max="8" width="19.1640625" style="4" customWidth="1"/>
    <col min="9" max="9" width="20" style="4" customWidth="1"/>
    <col min="10" max="10" width="3.1640625" style="4" customWidth="1"/>
    <col min="11" max="16384" width="8.83203125" style="4"/>
  </cols>
  <sheetData>
    <row r="3" spans="3:10" ht="35" x14ac:dyDescent="0.35">
      <c r="C3" s="65"/>
      <c r="D3" s="189" t="s">
        <v>521</v>
      </c>
      <c r="E3" s="190"/>
      <c r="F3" s="190"/>
      <c r="G3" s="190"/>
      <c r="H3" s="190"/>
      <c r="I3" s="190"/>
      <c r="J3" s="191"/>
    </row>
    <row r="4" spans="3:10" ht="16" x14ac:dyDescent="0.2">
      <c r="C4" s="64"/>
      <c r="D4" s="213" t="s">
        <v>522</v>
      </c>
      <c r="E4" s="214"/>
      <c r="F4" s="214"/>
      <c r="G4" s="214"/>
      <c r="H4" s="214"/>
      <c r="I4" s="214"/>
      <c r="J4" s="215"/>
    </row>
    <row r="5" spans="3:10" ht="16" x14ac:dyDescent="0.2">
      <c r="C5" s="64"/>
      <c r="D5" s="216" t="s">
        <v>523</v>
      </c>
      <c r="E5" s="217"/>
      <c r="F5" s="217"/>
      <c r="G5" s="217"/>
      <c r="H5" s="217"/>
      <c r="I5" s="217"/>
      <c r="J5" s="218"/>
    </row>
    <row r="6" spans="3:10" ht="16" x14ac:dyDescent="0.2">
      <c r="C6" s="64"/>
      <c r="D6" s="219" t="s">
        <v>537</v>
      </c>
      <c r="E6" s="220"/>
      <c r="F6" s="220"/>
      <c r="G6" s="220"/>
      <c r="H6" s="220"/>
      <c r="I6" s="220"/>
      <c r="J6" s="221"/>
    </row>
    <row r="7" spans="3:10" ht="16" x14ac:dyDescent="0.2">
      <c r="C7" s="64"/>
      <c r="D7" s="222" t="s">
        <v>566</v>
      </c>
      <c r="E7" s="223"/>
      <c r="F7" s="223"/>
      <c r="G7" s="223"/>
      <c r="H7" s="223"/>
      <c r="I7" s="223"/>
      <c r="J7" s="224"/>
    </row>
    <row r="8" spans="3:10" x14ac:dyDescent="0.2">
      <c r="C8" s="5"/>
      <c r="D8" s="151"/>
      <c r="E8" s="151"/>
      <c r="F8" s="151"/>
      <c r="G8" s="151"/>
      <c r="H8" s="151"/>
      <c r="I8" s="151"/>
      <c r="J8" s="151"/>
    </row>
    <row r="9" spans="3:10" x14ac:dyDescent="0.2">
      <c r="C9" s="5"/>
      <c r="D9" s="151"/>
      <c r="E9" s="151"/>
      <c r="F9" s="151"/>
      <c r="G9" s="151"/>
      <c r="H9" s="151"/>
      <c r="I9" s="151"/>
      <c r="J9" s="151"/>
    </row>
    <row r="10" spans="3:10" x14ac:dyDescent="0.2">
      <c r="C10" s="5"/>
      <c r="D10" s="151"/>
      <c r="E10" s="151"/>
      <c r="F10" s="151"/>
      <c r="G10" s="151"/>
      <c r="H10" s="151"/>
      <c r="I10" s="151"/>
      <c r="J10" s="151"/>
    </row>
    <row r="11" spans="3:10" x14ac:dyDescent="0.2">
      <c r="C11" s="5"/>
      <c r="D11" s="151"/>
      <c r="E11" s="151"/>
      <c r="F11" s="151"/>
      <c r="G11" s="151"/>
      <c r="H11" s="151"/>
      <c r="I11" s="151"/>
      <c r="J11" s="151"/>
    </row>
  </sheetData>
  <mergeCells count="9">
    <mergeCell ref="D10:J10"/>
    <mergeCell ref="D11:J11"/>
    <mergeCell ref="D3:J3"/>
    <mergeCell ref="D4:J4"/>
    <mergeCell ref="D5:J5"/>
    <mergeCell ref="D6:J6"/>
    <mergeCell ref="D7:J7"/>
    <mergeCell ref="D8:J8"/>
    <mergeCell ref="D9:J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Introduction</vt:lpstr>
      <vt:lpstr>Contents</vt:lpstr>
      <vt:lpstr>Requirements</vt:lpstr>
      <vt:lpstr>Properties</vt:lpstr>
      <vt:lpstr>Temp. dependency</vt:lpstr>
      <vt:lpstr>Results</vt:lpstr>
      <vt:lpstr>Shell Side</vt:lpstr>
      <vt:lpstr>Tube Side</vt:lpstr>
      <vt:lpstr>Mechanical Design</vt:lpstr>
      <vt:lpstr>Cost &amp; Weight Estimation</vt:lpstr>
      <vt:lpstr>Layout</vt:lpstr>
      <vt:lpstr>TEMA Datasheet</vt:lpstr>
      <vt:lpstr>References</vt:lpstr>
      <vt:lpstr>Aknowledgment</vt:lpstr>
    </vt:vector>
  </TitlesOfParts>
  <Company>Sharif University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 Adibi</dc:creator>
  <cp:lastModifiedBy>Microsoft Office User</cp:lastModifiedBy>
  <dcterms:created xsi:type="dcterms:W3CDTF">2010-05-23T10:29:50Z</dcterms:created>
  <dcterms:modified xsi:type="dcterms:W3CDTF">2017-01-13T18:10:03Z</dcterms:modified>
</cp:coreProperties>
</file>